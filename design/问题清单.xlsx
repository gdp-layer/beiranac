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Y:\AC文件\北燃规划\20260329早期沟通\网页设计\"/>
    </mc:Choice>
  </mc:AlternateContent>
  <xr:revisionPtr revIDLastSave="0" documentId="13_ncr:1_{A4FF9AD3-6544-4CEC-BF70-26CC4EDACB34}" xr6:coauthVersionLast="47" xr6:coauthVersionMax="47" xr10:uidLastSave="{00000000-0000-0000-0000-000000000000}"/>
  <bookViews>
    <workbookView xWindow="5415" yWindow="4275" windowWidth="27405" windowHeight="15435" xr2:uid="{00000000-000D-0000-FFFF-FFFF0000000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6" i="1" l="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<sst xmlns="http://schemas.openxmlformats.org/spreadsheetml/2006/main" count="512" uniqueCount="284">
  <si>
    <t>#</t>
  </si>
  <si>
    <t>一级分类</t>
  </si>
  <si>
    <t>二级分类</t>
  </si>
  <si>
    <t>问题描述</t>
  </si>
  <si>
    <t>问题类型</t>
  </si>
  <si>
    <t>解决方案</t>
  </si>
  <si>
    <t>大客户业务</t>
  </si>
  <si>
    <t>合同签署和执行</t>
  </si>
  <si>
    <t>合规管控问题</t>
  </si>
  <si>
    <t>合同履约</t>
  </si>
  <si>
    <t>数字化提升</t>
  </si>
  <si>
    <t>电厂用户因发改委定价，无法执行偏差结算和照付不议条款，存在上游条款无法顺延的风险。</t>
  </si>
  <si>
    <t>短售双气源用户因未签订偏差结算条款，造成计划用量与实际用量偏差较大，上游合同存在违约风险。</t>
  </si>
  <si>
    <t>应收账款风险</t>
  </si>
  <si>
    <t>未及时发放催费单，存在合规管理风险，同时催缴证据链不完善，诉讼中容易出现诉讼时效中断。</t>
  </si>
  <si>
    <t>收款开票</t>
  </si>
  <si>
    <t>管理优化,数字化提升</t>
  </si>
  <si>
    <t>用户欠费无有效制约措施，已形成习惯性拖欠及违约，应收账款风险很大。</t>
  </si>
  <si>
    <t>业务规范与标准问题</t>
  </si>
  <si>
    <t>用户提出气质、压力诉求无法解决，容易出现欠费风险</t>
  </si>
  <si>
    <t>计量计费</t>
  </si>
  <si>
    <t>管理优化</t>
  </si>
  <si>
    <t>查表工作风险</t>
  </si>
  <si>
    <t>大客户查表系统上传照片无水印，无法保证现场见表，一手数据缺乏第三方质检。</t>
  </si>
  <si>
    <t>系统问题</t>
  </si>
  <si>
    <t>工单执行</t>
  </si>
  <si>
    <t>PDA仪表需要手工录入表底，照片无法识别，存在计费错误</t>
  </si>
  <si>
    <t>系统问题,技术设备问题</t>
  </si>
  <si>
    <t>数字化提升,设备更新</t>
  </si>
  <si>
    <t>用户服务诉求</t>
  </si>
  <si>
    <t>出现计量问题，无有效措施判断问题原因，处理效率低，用户不满</t>
  </si>
  <si>
    <t>诉求转办时效性问题，部门协同效率低</t>
  </si>
  <si>
    <t>组织效率问题,系统问题</t>
  </si>
  <si>
    <t>工单流转</t>
  </si>
  <si>
    <t>数字化提升,管理优化</t>
  </si>
  <si>
    <t>计费风险</t>
  </si>
  <si>
    <t>高压表具漂数，原因分析困难，气费扣减无依据，用户不满，存在利益交换风险。</t>
  </si>
  <si>
    <t>业务规范与标准问题,技术设备问题</t>
  </si>
  <si>
    <t>受制于应收账款压减要求，账单无法开具到最后一天，全年记账收入与电厂不一致，存在函证风险。</t>
  </si>
  <si>
    <t>发票管理风险</t>
  </si>
  <si>
    <t>开票系统和客服系统集成不足，取消账单后发票不作废，再开单后，可重新开票，存在发票管理风险。</t>
  </si>
  <si>
    <t>客服系统无法红冲电子发票，所以未关闭发票系统权限，可以直接从发票系统开出虚假发票。</t>
  </si>
  <si>
    <t>表具运行监控</t>
  </si>
  <si>
    <t>高压端表具日常需要从SCADA系统监控表具运行、气质压力情况，SCADA数据未接入用户管理系统，且无法联网，表具运行数据非工作日无法监控，发现问题不及时。</t>
  </si>
  <si>
    <t>表具管理</t>
  </si>
  <si>
    <t>巡检业务</t>
  </si>
  <si>
    <t>合同中约定了巡检条款，但高压端表具巡检执行不到位，存在违约风险。</t>
  </si>
  <si>
    <t>制定高压表具巡检计划、检查标准，并通过工单下发，确保执行落实。</t>
  </si>
  <si>
    <t>结算点调整管理</t>
  </si>
  <si>
    <t>内部原售用户非结算表具难以保证周检频率和技改工作，在优先保证工况的条件下，无表或表坏会造成无法结算，计费失准。</t>
  </si>
  <si>
    <t>待定</t>
  </si>
  <si>
    <t>绿源达监控资产在高压公司，监控管理单位不明确，监控系统损坏无人维修。</t>
  </si>
  <si>
    <t>昌平公司、怀柔公司存在跨区气源点，跨区用户需要以销代购，导致昌平和怀柔购入测算不准，购销差管理因难。</t>
  </si>
  <si>
    <t>居民巡检</t>
  </si>
  <si>
    <t>隐患整治</t>
  </si>
  <si>
    <t>日常巡检工作已经趋于饱和，无法按时对存在严重隐患进行催告</t>
  </si>
  <si>
    <t>组织效率问题</t>
  </si>
  <si>
    <t>隐患采用分级管理方式，对于严重隐患，建立跟进处理机制，通过短信/公众号/语音/人工等多种手段催促整改，减少现场人员催告工作量。</t>
  </si>
  <si>
    <t>灶具、热水器类隐患，需要用户出资更换设备，用户整改意愿差异较大</t>
  </si>
  <si>
    <t>用户配合度问题</t>
  </si>
  <si>
    <t>对于用户拒绝整改情况，保留“燃气公司反复催告，充分告知潜在风险，但用户拒绝整改”的记录，作为燃气公司义务履行的佐证。</t>
  </si>
  <si>
    <t>超期表具、安全型产品加装更换工作衔接差。巡检工不具备表具阀门安装更换能力，后续维修工和用户时间安排难度大，无法迅速响应</t>
  </si>
  <si>
    <t>组织优化</t>
  </si>
  <si>
    <t>安全责任分界不清，未明确地下室/半地下室/地上封闭户公共部位报警器、切断阀的安装及维护责任，《北京市燃气管理条例》未对安装在专有部分以外的用户自有设备(报警器、切断阀)的管护责任进行明确</t>
  </si>
  <si>
    <t>合规性管理</t>
  </si>
  <si>
    <t>工作内容和流程</t>
  </si>
  <si>
    <t>用户沟通联系机制待完善，缺乏与用户建立稳定沟通渠道的能力、缺乏有效利用系统保存的用户手机号等联系方式、用户联系方式维护和更新迟缓没有形成动态调整机制没有建立稳定的线上(微信、企微、北京燃气移动APP)沟通反馈渠道</t>
  </si>
  <si>
    <t>构建统一用户画像体系，根据用户交互记录，动态采集更新用户联系信息，确保联系方式；同时在多端建立用户反馈渠道，支持用户自助提出诉求，并做到多渠道诉求统一管理。</t>
  </si>
  <si>
    <t>公共部位巡检缺失，管线引入方式和环境复杂、管线布局和走向不明晰、安全隐患较难全面排查、隐患整改难度较大、居民巡检工普遍不具备丰富的燃气安全排查经验和能力、公共部位排查的复杂性导致费时费力，居民巡检工普遍未能有效开展巡检工作</t>
  </si>
  <si>
    <t>管理优化,组织优化</t>
  </si>
  <si>
    <t>针对公共部位巡检，建立统一检查标准（检查内容、检查频率等），提出明确专业技能要求，对工作量进行评估后，确定检查主体是否为原有居民巡检工或者新增人手。</t>
  </si>
  <si>
    <t>巡检技术手段缺失，目前巡检人员配备的巡检设备无法对外爬管线进行泄漏检测、外爬管线的锈蚀程度等判定难度更高，可能存在无法及时发现的情况</t>
  </si>
  <si>
    <t>技术设备问题</t>
  </si>
  <si>
    <t>设备更新</t>
  </si>
  <si>
    <t>缺乏与外部企业的合作：没有与外部企业建立长期有效的协调机制；缺乏与物业、房屋中介、其他公用事业企业等与用户息息相关的行业企业联动</t>
  </si>
  <si>
    <t>管理问题</t>
  </si>
  <si>
    <t>基于不同的工作场景，提出与物业、社区、公安等机构的协同机制，提升服务效率与用户体验感，保障用户用气安全。</t>
  </si>
  <si>
    <t>宣传渠道较为单一：没有拓宽有效的宣传渠道提升用户安全感知；局限于与传统媒体及传统广告行业开展安全宣传；缺少互联网平台、新兴媒体平台的宣传渠道</t>
  </si>
  <si>
    <t>建立自有媒体渠道（如微信公众号、不同自媒体平台官方账号），线上为用户提供燃气业务自助办理服务、24小时客服一对一答疑、等便捷通道，增加用户粘性，同时结合用气安全宣传、燃气知识普及等素材，提升用户对燃气的关注度。</t>
  </si>
  <si>
    <t>非居巡检</t>
  </si>
  <si>
    <t>三合一人员业务能力不高：巡检人员能力差距大，未建立巡检员技能与岗位要求匹配度评估机制；上岗取证体系不成熟，培训考核合格后即可上岗；培训工作缺乏标准</t>
  </si>
  <si>
    <t>健全一线员工管理体系，完善员工岗前培训与评估机制、日常绩效考核与学习机制，进一步提升员工业务能力。</t>
  </si>
  <si>
    <t>巡检人员对管线检查的精细度不够：巡检人员未对管线穿越及连接部位完成全量气体泄漏检测，多为走过场</t>
  </si>
  <si>
    <t>合规管控问题,业务规范与标准问题</t>
  </si>
  <si>
    <t>事故预防效果减弱：隐患未被及时发现，无法有效预防事故的发生，造成人员上忙、环境破坏</t>
  </si>
  <si>
    <t>用户基础信息不全面</t>
  </si>
  <si>
    <t>用户变更频繁，难以实时掌握有效信息</t>
  </si>
  <si>
    <t>用户开过销户等行为应实时更新，便于巡检工作掌握最新用户动态。</t>
  </si>
  <si>
    <t>巡检周期难以实时跟踪和掌握变更情况</t>
  </si>
  <si>
    <t xml:space="preserve">非居民图档绘制质量较差
</t>
  </si>
  <si>
    <t>燃气应急处置无法落实：绘制的图纸技术水准参差不齐，绘制质量优劣不一，出现漏气或爆炸爆燃事故时无法找到对应控制点进行应急处置</t>
  </si>
  <si>
    <t>流程协同问题</t>
  </si>
  <si>
    <t>对于前期图纸不准确的情况，建议通过日常巡检，采集并纠正关键位置信息（如接驳点等），提升事故应急处置效率。</t>
  </si>
  <si>
    <t>轮岗后检查不到位：非居民用户建筑环境复杂，管线穿越情况多样，绘图不标准、不全面，出现安全检查盲区，私拆私改行为无法防范</t>
  </si>
  <si>
    <t>针对环境复杂用户，可以组织专项检查，对管线走向、用户情况开展详细摸查，并动态更新系统中的用户信息，保留历次检查记录，让新员工快速掌握用户情况。</t>
  </si>
  <si>
    <t>户内外管网一张图无法有效对接：通过图档系统自行查询引入口编码及位置坐标难户内外管网一张图无法有效对接度较大，后续对接户外管线图难度大</t>
  </si>
  <si>
    <t>流程协同问题,系统问题</t>
  </si>
  <si>
    <t>此问题涉及到户内与管网图纸数据质量问题，需开展数据治理做到有效对接。通过在至少1-2轮全区域巡检的过程中，采集、纠偏、更新历史数据，才能确认户内外管网图纸的准确对接。</t>
  </si>
  <si>
    <t>隐患整改困难</t>
  </si>
  <si>
    <t>用户端隐患整改受用户主观意愿影响：四类用户等持殊用户难以采取停限措施督促整改；用户安全意识淡薄</t>
  </si>
  <si>
    <t>将相关案例资料进行全面整理，定期向政府/行业主管单位/上级单位等有关部门反馈，征求相关单位的支持与帮助。</t>
  </si>
  <si>
    <t>产权单位与用气单位安全管理表任不明确：非用气用户使用场所出现隐患问题，消隐整改督促对象不明确；公共部位隐患无法对用气用户采取限制措施；用气合同针对产权责任划分未明确规范</t>
  </si>
  <si>
    <t>从安全视角，提出对非用气用户使用场所、以及公共部位的隐患排查与整改责任归属，并积极与有关单位协商确认。</t>
  </si>
  <si>
    <t>计量</t>
  </si>
  <si>
    <t>系统</t>
  </si>
  <si>
    <t>物联网新旧平台共存：物联网存在OC和AEP两个平台，目前还有20多万未迁移。</t>
  </si>
  <si>
    <t>开展旧数据数据迁移工作，或设立统一映射规则，确保双平台设备信息可查询、可追溯</t>
  </si>
  <si>
    <t>系统支撑问题：由于第三方单位变化，对于NB表部分上报数据的解析字典无法增加，造成解析错误，影响上报率的分析；BI不常用报表打开时间较慢。</t>
  </si>
  <si>
    <t>与第三方沟通，建立解析字典同步更新机制，不影响解决准确性。对于BI响应慢的原因，进一步分析，通过资源隔离、索引优化、数据同步机制优化等方式，优化BI报表性能。</t>
  </si>
  <si>
    <t>系统数据：侧重于数据可视化，但决策价值不足；系统数据时空多维度，但是关联分析较弱。</t>
  </si>
  <si>
    <t>根据业务决策需求，优化现有的指标体系，并结合AI for BI等智能应用，建立数据血缘关系与分析主题库，实现多维度、主动式、预测性分析，支撑业务决策。</t>
  </si>
  <si>
    <t>工单生成机制不合理：原4天未上传自动生成工单，分公司处理压力大，功能已关闭。</t>
  </si>
  <si>
    <t>客服系统应满足诉求工单全过程线上统一管理（从工单生成-派单-执行反馈-评价），无需再事后上传补单。</t>
  </si>
  <si>
    <t>权限与数据安全隐患：数据导出、修改流程不规范，敏感数据未完全脱敏。</t>
  </si>
  <si>
    <t>系统完善权限管控机制，用户敏感信息做脱敏处理。</t>
  </si>
  <si>
    <t>通信</t>
  </si>
  <si>
    <t>NB表通信10年到期管理问题：目前缺少对NB表SIM卡管理，10年到期后存在续费问题及产权问题。</t>
  </si>
  <si>
    <t>NB表</t>
  </si>
  <si>
    <t>建立SIM卡全生命管理机制。
1、盘点所有在网NB表，建立“一表一卡”电子档案，关联设备ID、SIM卡号、ICCID、入网时间、套餐到期日、归属运营商等信息。
2、对SIM卡套餐到期时间设置分级预警，自动提醒管理人员，并采用差异化处置策略。</t>
  </si>
  <si>
    <t>上传率低：2023年通信成功率96.33%,2024年9月后降至91%左右；部分厂家长期未上传表具占比超1%</t>
  </si>
  <si>
    <t>数据问题</t>
  </si>
  <si>
    <t>建立数据监控与跟踪机制。每天跟踪IOT平台数据上传失败的设备，分析失败原因，及时解决。结合监控数据，对供应商进行考核与问责，要求供应商提供解决方案处理。</t>
  </si>
  <si>
    <t>外部环境影响信号传输：部分小区拆除基站、别墅区表具地下安装导致信号差</t>
  </si>
  <si>
    <t>联合运营商，主动增强特殊区域的信号强度，同时对于信号未达标区域，不具备安装NB表条件。</t>
  </si>
  <si>
    <t>数据准确性</t>
  </si>
  <si>
    <t>数据准确性：采集器模式远传表存在串数问题，目前无法找不到原因，影响用气分析。</t>
  </si>
  <si>
    <t>开展专项技术排查，并建立数据校验规则（例如：在数据入库前，增加一道业务逻辑校验规则，对异常值进行标记、告警）。</t>
  </si>
  <si>
    <t>补贴问题：NB表失联导致补贴数据缺失，用户对取值时间、展示方式不认可</t>
  </si>
  <si>
    <t>优化数据取值逻辑，并提升用户端透明度。对于数据缺失情况，在取得用户同意及符合监管要求的前提下，制定数据估算规则，并在用户气费账单中，清晰展示用于计算补贴的估数信息，提升用户透明度。</t>
  </si>
  <si>
    <t>开单延迟与数据展示异常。月初开单持续至7号，影响阶梯气价、APP 数据展示；未开单时移动端气量显示为 0，引发投诉</t>
  </si>
  <si>
    <t>供应商协调问题</t>
  </si>
  <si>
    <t>供应商与平台管理不足：NB模组供应商信号优化不及时，工单响应慢；信息中心长期未上传数据差异大。</t>
  </si>
  <si>
    <t>供应商管理</t>
  </si>
  <si>
    <t>建立基于数据的供应商绩效量化考核与闭环管理机制。</t>
  </si>
  <si>
    <t>检定</t>
  </si>
  <si>
    <t>民用首检能力不足。非民用周检能力不足。系统未打通，周检定数据利用率低。检定中心第三方地位宣传不足。</t>
  </si>
  <si>
    <t>非民用周检能力不足：按有用量的表具检定，年检定量超过2万台，若G4、G6表具检定，增加1万工作量。</t>
  </si>
  <si>
    <t>检定中心第三方地位宣传不足。</t>
  </si>
  <si>
    <t>检定数据：系统未完全打通，周检数据利用率低。</t>
  </si>
  <si>
    <t>推动系统集成，并深度挖掘检定数据的预测性价值。
建立表具健康档案，开展表具计量性能的漂移趋势分析、开展预测性维护分析、表具选型分析与供应商考核分析。</t>
  </si>
  <si>
    <t>计量仪表选型</t>
  </si>
  <si>
    <t>新站箱建设未及时通知客服部</t>
  </si>
  <si>
    <t>用户用气需求不准确，造成计量精度不足</t>
  </si>
  <si>
    <t>特殊用户诉求与集团管理理念不一致</t>
  </si>
  <si>
    <t>安全控制功能是否可优化</t>
  </si>
  <si>
    <t>收费</t>
  </si>
  <si>
    <t>政策来源风险</t>
  </si>
  <si>
    <t>政策文件对燃气自采暖居民用户、用户能否自行进行采暖形式改造、学校用气用户定义等有歧义或不明确，执行层面争议较大，有合规及服务风险。</t>
  </si>
  <si>
    <t>主动寻求权威解释。整理公司相关争议案例、其他各地政策及案例，向政府/行业主管部门请示，争取获得书面或官方认可的解读，依此制定公司内部管理办法，并对客服、巡检、查表等一线员工进行专项培训，确保政策解释口径一致。</t>
  </si>
  <si>
    <t>计量来源风险</t>
  </si>
  <si>
    <t>卡表不计费、NB表失联、普表无法查表入户产生气费损失。</t>
  </si>
  <si>
    <t>技术设备问题,用户配合度问题</t>
  </si>
  <si>
    <t>1、针对设备异常情况，建立多维监控体系：
- 卡表：通过后台系统监控购气量与表端计量的比对，对长期“零走字”但有购气记录的表具进行稽查。
- NB表：严格执行设备离线预警机制，对超期离线表具生成工单，排查恢复通信。
- 普表：结合历史用气规律，对连续多个抄表周期未能入户的表具，启动异常流程。
2、实施合规的气量估算与追缴：
制定管理办法，明确在表具故障、通信中断、无法入户等情形下，基于用户历史同期均值、同户型邻居均值等规则，进行合规估算的规则和审批流程。
估算气量产生后，通过短信、账单备注等方式向用户充分说明原因和依据，并提供便捷的异议申诉渠道。</t>
  </si>
  <si>
    <t>用量回传异常数据未预警，造成用量统计失真。数据量大，统计分析困难。</t>
  </si>
  <si>
    <t>技术设备问题,系统问题</t>
  </si>
  <si>
    <t>进一步分析异常数据未预警原因，进一步定位是计量设备/数据分析平台的原因导致。</t>
  </si>
  <si>
    <t>业务流程风险</t>
  </si>
  <si>
    <t>居民用户退费流程较长，基卡不符或NB无回传等问题导致气费纠纷等受限于合规及服务风险、无法进行标准化服务、执行效率较低。此外，普表小区开展技改换表工作后，用户更为分散、查表效率明显降低，缩量业务的独立管理成为痛点。</t>
  </si>
  <si>
    <t>业务规范与标准问题,系统问题</t>
  </si>
  <si>
    <t>标准化与线上化退费流程。梳理各类退费场景（多缴费、低保补贴、气价差错等），为每类场景设计标准化的申请材料清单、审批节点和办结时限。同时支持用户线上办理退费申请，支持用户上传凭证，后台多部门并联审批，提升业务办理效率。
普表换表后，查表户分散，公司应基于用户分布情况，制定合理的查表计划，提升工作效率。</t>
  </si>
  <si>
    <t>系统风险</t>
  </si>
  <si>
    <t>系统设计开发期对系统支撑能力预计不足，影响月结、数据展示、计费等相关工作，产生较为突出的业务及服务问题。</t>
  </si>
  <si>
    <t>短期策略：优化系统数据库性能
长期策略：对系统承载能力评估与扩容/升级规划。</t>
  </si>
  <si>
    <t>调价结果反馈不及时，统计不清晰。</t>
  </si>
  <si>
    <t>系统根据气价调整方案，自动在调价期后更新气费计算方式，确保计费准确性。</t>
  </si>
  <si>
    <t>其他来源风险</t>
  </si>
  <si>
    <t>居民用户购买低价气，燃气费电诈屡有发生；NB表缴费更便捷、且无法屯一阶气量等优势也带来用户不在有大额预存的问题，用户购气频次明显增加，购气金额明显降低，气费收费现金减少。</t>
  </si>
  <si>
    <t>合规管控问题,管理问题</t>
  </si>
  <si>
    <t>1、加强用户教育与反诈宣传：在所有官方渠道明确公告公司唯一的缴费渠道，提醒用户防范“代缴优惠”等电诈骗局。与警方合作，对涉案线索快速响应。
2、用气情况主动告知：通过APP、短信主动提醒用户阶梯气量使用进度，引导其合理规划购气，平衡消费频次与金额。
3、创新营收与服务模式：推出“自动代扣”、“定期购气计划”等服务，绑定银行卡，将高频小额购气转化为稳定的现金流。</t>
  </si>
  <si>
    <t>技改</t>
  </si>
  <si>
    <t>工程管理</t>
  </si>
  <si>
    <t>整个技改工程管理责任分配问题，尤其是质量控制等内容</t>
  </si>
  <si>
    <t>建立项目责任制：建立“项目经理责任制”，对项目的质量、安全、进度、成本负总责，负责协调多方。
实施三级质量检查：施工队自检、监理/质量组巡检、项目终验。利用移动终端实时上传检查结果和现场照片，确保过程可追溯。</t>
  </si>
  <si>
    <t>技改遗留表经过各种努力未能入户如何降低集团责任</t>
  </si>
  <si>
    <t>1、确定“无法入户”的认定标准（例如：xx次电话联系、xx次书面（贴条/短信）通知，xx次协同物业/社区”，并保留所有记录（通话录音、短信截图、贴条照片、见证记录等），充分告知用户因无法入户可能产生的风险（如表具超期、计量失准）及后续处理方式。
2、对于此类用户，在画像中增加“无法入户”标签，定期排查，并探索在下次上门或用户主动联系时优先处理。</t>
  </si>
  <si>
    <t>各种原因未到10年进行技改的免责(极限低于7年)</t>
  </si>
  <si>
    <t>工作量确认和工作质量确认</t>
  </si>
  <si>
    <t>转移气量和基卡不符追缴问题</t>
  </si>
  <si>
    <t>1、标准化转移流程：换表时，必须由工作人员和用户共同确认旧表止码、新表起码，并签字拍照。通过移动PDA实时录入系统，系统自动计算转移气量。
2、系统自动核对与预警：系统将现场录入的基表读数与系统中该用户最近一次结算读数或估读数进行比对，差异过大时自动预警，要求现场复核。
3、建立争议处理机制：对于历史遗留的基卡不符，制定统一的处理原则（如折中计算、有利于用户但记录在案等），并经公司审核后执行。</t>
  </si>
  <si>
    <t>报废管理和物料管理</t>
  </si>
  <si>
    <t>分公司相关物料管理薄弱，物料采购合规性提升(中标单位集中在头部厂家，中标价格接近)报废流程规范化和合规化</t>
  </si>
  <si>
    <t>物资管理</t>
  </si>
  <si>
    <t>考虑物料集团统一采购、集中管理、统一调配：建立公司级物资库，各分公司按需申领。对表具等关键物料进行全生命周期跟踪，从入库、出库、安装到报废全程可溯。
报废表具必须经检定中心鉴定。销毁过程需视频记录或有监销人签字。销毁后的残值处理需符合财务规定。</t>
  </si>
  <si>
    <t>供应商推荐工作流程如何合规，推荐优质供应商，目前供应商评价未能体现客观性</t>
  </si>
  <si>
    <t>售后服务的持续有效性供应商退出机制及应对策略</t>
  </si>
  <si>
    <t>采购过程中低价扰乱和供货不及时问题</t>
  </si>
  <si>
    <t>新型表具试用</t>
  </si>
  <si>
    <t>无制度性规划</t>
  </si>
  <si>
    <t>声波表相关系统建设需要提速，尤其对于数据分析展示等前台功能、没有码轮带来的服务风险需要提前预估、扩展安全功能过多带来的漏报、虚警带来的服务问题和安全风险、检定中心没有成熟的实验室</t>
  </si>
  <si>
    <t>建立覆盖所有计量设备的统一管理平台，对多类型设备的数据进行集中采集、处理与分析。</t>
  </si>
  <si>
    <t>户内维修</t>
  </si>
  <si>
    <t>服务质量问题</t>
  </si>
  <si>
    <t>分配处理人未上门，电话指导用户处理，引发漏气风险</t>
  </si>
  <si>
    <t>规范一线操作，杜绝因人为失误导致的安全风险。
1、标准化工单分级与联动响应，对员工接单后多久联系客户/多久上门处理等指标进行规定，并在系统中留痕所有工作记录，作为员工服务考核依据。
2、标准化应急指导方式与话术，降低事故风险。
3、标准化工单检查项，逐项填写结果并拍照上传，并告知用户确认，才能关闭工单。
4、引入智能分析机制，对检查内容、图片等信息进行比对分析，判断是否存在潜在风险。</t>
  </si>
  <si>
    <t>维修人员未及时指导控制气源、未及时上门处置，引发服务投诉或扩大影响范围</t>
  </si>
  <si>
    <t>维修人员上门但未能非查发现情气等安全隐患，引引发户内安全次生事件</t>
  </si>
  <si>
    <t>维修人员现场处置不当，引发户内安全次生事件</t>
  </si>
  <si>
    <t>业务流程问题</t>
  </si>
  <si>
    <t>维修工单缺乏后续质检，未形成闭环管理：维修工单业务处量及时性以及工单接转、派单、联系、回复内容等规范性欠缺；疑似漏气类工单缺乏后纳监督闭环，存在风险隐患</t>
  </si>
  <si>
    <t>建立“工单回访 + 稽查”机制：所有工单完成后，开展电话/短信回访，核实服务满意度、隐患是否告知等情况。对“漏气”等关键工单，由稽查部门现场或电话核实维修质量。</t>
  </si>
  <si>
    <t>漏气工单审核关闭机制不健全：针对疑似漏气报修工单，未展行审核关单机制，导致录气风险未发现</t>
  </si>
  <si>
    <t>户内缺乏计划性维修管理：户内老旧管线评估结果立即改造，到更新改造过程中存有时间差；缺乏自查漏气以及计划性维修管理，只是被动的接收用户的报修并上门处置</t>
  </si>
  <si>
    <t>构建用户画像体系，对用户开展动态安全评级，系统自动对高风险用户（如老旧橡胶管、超期器具）生成“主动更换/检查”工单，纳入月度工作计划，变“被动报修”为“主动干预”。</t>
  </si>
  <si>
    <t>报修类型模块选项设置菜单层级多，子项存在重复，不利于统计分析</t>
  </si>
  <si>
    <t>系统问题,业务规范与标准问题</t>
  </si>
  <si>
    <t>根据业务实际情况，对业务分类及检查项进行全面梳理优化，支撑数据统计分析。</t>
  </si>
  <si>
    <t>系统选项设置与实际维修项目不对应</t>
  </si>
  <si>
    <t>维修数据分析不细致，未能有效指导户内安全服务工作开展</t>
  </si>
  <si>
    <t>无专职应急人员</t>
  </si>
  <si>
    <t>无专职户内应急人员，维修工兼职应急工作</t>
  </si>
  <si>
    <t>拆改</t>
  </si>
  <si>
    <t>涉及职工参与私拆私改的廉政问题</t>
  </si>
  <si>
    <t>职工没有通过系统建工单，通过日常工作或朋友介绍等方式与用户建立联系，完成用户拆改迁需求并私自收取费用。</t>
  </si>
  <si>
    <t>1、唯一入口与强制系统留痕：所有工单必须通过公司客服系统创建、派发以及办结，全过程留痕。
2、费用统一线上支付：所有费用仅能通过公司官方支付渠道（扫码、对公转账）收取，严禁员工经手现金或个人收款。
3、强化业务审计，利用数据分析技术识别潜在舞弊行为（例如：工单取消率高、账单未支付比率高等）。</t>
  </si>
  <si>
    <t>职工与有资质的施工单位建立联系，利用职务之便引导用户去找此施工单位实施拆改工程，造成跑单和漏单，以此牟利。</t>
  </si>
  <si>
    <t>安全问题</t>
  </si>
  <si>
    <t>用户服务公司实施：人员技能水平参差不齐；操作不规范</t>
  </si>
  <si>
    <t>1、人员技能认证与持证上岗：建立内部技能等级评定体系，针不同作业类型，组织专项培训和实操考核，员工必须获得相应资格认证后方可接单。
2、标准化作业执行：制定统一的作业标准，并要求在系统中对关键步骤（如新旧管道连接、气密性测试）记录，作为质量追溯依据。
3、引入第三方质量抽检：定期委托第三方专业机构对工程质量进行抽样和复测，检验结果直接与施工方的绩效挂钩。
4、在与第三方单位的合同中，包含独立的安全责任条款，明确安全与质量主体责任。建立“黑名单”制度：对发生安全责任事故、屡次违规、服务质量差的第三方单位，列入黑名单不再合作。</t>
  </si>
  <si>
    <t>第三方单位实施：由于对第三方单位进行管控过程中存在不严谨的情况，当出现安全事件时，企业可能承担部分安全责任的风险</t>
  </si>
  <si>
    <t>社会舆情问题</t>
  </si>
  <si>
    <t>价格问题：新农村用户拆改迁价格、实施范围、实施单位，各分公司没有统一标准，容易出现用户投诉；燃气公司价格较高，用户不能接受</t>
  </si>
  <si>
    <t>制定并公开透明的收费标准，在各分公司营业厅、官网、APP等渠道公示，做到“阳光收费”，杜绝分公司各自为政。</t>
  </si>
  <si>
    <t>用户认为燃气公司涉嫌垄断</t>
  </si>
  <si>
    <t>提供多元化合规服务选择：在公示官方价格的同时，明确告知用户可自行选择官方名录中的任何一家服务商，公司仅作为平台提供信息与监管，从而有效化解“垄断”质疑。</t>
  </si>
  <si>
    <t>服务不及时：对于新农村用户存在集中时间段翻建房屋，需要进行拆改迁的情况，造成短期内工单集中爆发，实施拆改工程的人员不足，导致用户投诉事件；由于沟通不当，没有按照用户要求上门实施拆改工程</t>
  </si>
  <si>
    <t>针对新农村集中建房等季节性高峰，提前预测，通过增派内部人员、协调合作单位储备临时资源、实行用户预约制等方式，平滑工单压力，并通过系统及时向用户反馈预计上门时间，管理用户预期。</t>
  </si>
  <si>
    <t>影响企业形象：技改、安全配件、锈蚀管改造等外部施工单位冒充燃气拆改迁惹人员为用户进行管道拆改，因服务、价格、质量等问题对企业造成不良影响</t>
  </si>
  <si>
    <t>强化官方身份识别：所有官方上门人员必须统一着装、佩戴带照片和二维码的工牌。通过各类宣传渠道告知用户，扫码可即时验证人员身份。</t>
  </si>
  <si>
    <t>话务</t>
  </si>
  <si>
    <t>两地话务职场系统不一致</t>
  </si>
  <si>
    <t>数据获取、统计问题：96777面临大量核对、数据统计、分析等工作，目前话务数据、通话记录、录音、人员绩效等关键数据分散在两套独立的数据库中，在需要导出、统计、分析数据时，需分别登录两套系统开展再人工整合，导致工作量翻倍。</t>
  </si>
  <si>
    <t>建设统一客服系统，打破数据孤岛，统一操作界面与管理流程，实现“一个中心、一套系统”。</t>
  </si>
  <si>
    <t>系统维护、信息调整问题：人员调整、技能组调整、考勤排班、知识库更新等需维护系统信息的工作，需要管理人员分别登</t>
  </si>
  <si>
    <t>操作、功能、界面不统一：两系统操作界面难以做到完全统一，话务人员在培训操作时，学习成本增加；两系统业务功能尚未统一，导致两地管理不统一。西直门系统无在线客服业务，考勤、排班、绩效仍在开发阶段，通州系统无智能质检功能。</t>
  </si>
  <si>
    <t>国产化系统问题</t>
  </si>
  <si>
    <t>国产化系统与呼叫系统信息不关联：目前话务系统和国产化系统完全独立，即用户来电、诉求录音等信息记录在话务系统，用户基础数据、工单数据记录在国产化系统，两者信息无关联，导致服务信息对应查找繁琐。</t>
  </si>
  <si>
    <t>建立面向用户的客服系统，构建统一用户画像体系，覆盖用户端到端服务全链（呼叫-工单创建-工单派发-工单执行-工单评价），做到用户数据集中管理。</t>
  </si>
  <si>
    <t>其他需提升问题</t>
  </si>
  <si>
    <t>智能IVR导航：目前IVR导航流程固定，用户要获取想要的信息往往要面对多层级的导航菜单。应通过语音理解等智能化功能，生成IVR智能导航，通过人机系统对话，缩短通话时间，使用户快速获取相关信息，提高客户满意度。</t>
  </si>
  <si>
    <t>升级现有IVR，部署自然语言理解（NLU）驱动的智能IVR。</t>
  </si>
  <si>
    <t>智能客服：智能化效果较差，大多场景无法识别用户诉求，难以解答用户提问，分流话务效果不明显。</t>
  </si>
  <si>
    <t>实施“知识库+场景化”的机器人优化工程。
1、知识库优化：梳理高频、标准化的业务问答（如气价、缴费方式、开户流程），以结构化、场景化的方式重建机器人知识库，而非简单罗列文档。
2、意图识别优化：基于历史对话录音的转写文本，分析用户真实表达方式，训练机器人的意图识别模型，使其能理解“我没气了”、“表不走了”等多种说法均指向“故障报修”。
3、人机协同：设定明确的转人工规则（如识别到“漏气”、“投诉”等关键词，或用户两次未得到满意答案），实现平滑转接，让机器人有效处理简单咨询，释放人工处理复杂问题。</t>
  </si>
  <si>
    <t>文本分类功能：目前呼叫系统已使用语音转文本功能，为了提升智能质检及工单预警分析功能，应通过文本分类功能对用户录音及工单进行快速、准确的分类，可有效提升质检针对性及工单预警效率。</t>
  </si>
  <si>
    <t>规划与启动</t>
  </si>
  <si>
    <t>需求定义不清：业务需求模糊、频繁变更，或关键需求遗漏，导致系统建成后无法满足实际业务。</t>
  </si>
  <si>
    <t>目标与范围失控：项目目标不明确或范围蔓延，导致资源超支、工期延误。</t>
  </si>
  <si>
    <t>执行与开发</t>
  </si>
  <si>
    <t>资源与进度风险：人力不足、关键岗位技能缺失、供应商交付延迟，导致进度滞后。</t>
  </si>
  <si>
    <t>技术实施风险：架构设计缺陷、代码质量低、系统集成不兼容。</t>
  </si>
  <si>
    <t>沟通与协作风险：跨部门/团队沟通不畅(如业务与技术团队理解偏差),决策链条过长。</t>
  </si>
  <si>
    <t>质量与合规</t>
  </si>
  <si>
    <t>质量控制失效：测试覆盖不全(如未覆盖边缘场景),性能不达标（高并发崩溃），安全漏洞未修复。</t>
  </si>
  <si>
    <t>合规性风险：违反网络安全法、行业标准、知识产权侵权等。</t>
  </si>
  <si>
    <t>上线与运维</t>
  </si>
  <si>
    <t>上线失败风险：数据迁移错误、用户培训不足、回退计划缺失，导致业务中断。</t>
  </si>
  <si>
    <t>运维断链风险：开发团队移交文档不全，运维团队技能不匹配，系统缺乏监控告警。</t>
  </si>
  <si>
    <t>组织与人员</t>
  </si>
  <si>
    <t>变革抵制风险：用户习惯旧系统，抵触新流程，导致使用率低下。</t>
  </si>
  <si>
    <t>知识流失风险：关键开发/运维人员离职，导致系统无人维护。</t>
  </si>
  <si>
    <t>对于分界不清的情况，进一步统一安全责任标准，明确用户/燃气公司责任，以及公司内部各部门的责任。</t>
  </si>
  <si>
    <t>同上。用户信息不是靠单一来源获取，需建立统一用户画像体系，根据用户行为动态采集更新用户信息。</t>
  </si>
  <si>
    <t>引入文本分类与语义分析模型，自动对通话内容进行分类（如咨询、投诉、维修等），快速创建工单。支持对通话内容进行合规性分析，同时识别用户情绪，确保机器质检的质量。</t>
  </si>
  <si>
    <t>建立用户类合同全过程统一线上管理体系：
1、构建格式合同与非格式合同管控机制。
2、合同条款结构化管理，对重要条款增加预警机制，降低条款缺失风险。
3、气价管理，按类型控制气价标准。
4、合同有效期管理，提前预警即将过期的用气合同。</t>
  </si>
  <si>
    <t>建立供应商全生命周期管理机制：
1、完善供应商准入机制；
2、设置供应商绩效评价体系，设定覆盖质量（故障率）、交付（及时率）、服务（响应速度）、技术等多维度的量化指标；
3、合同中明确售后服务SLA，并设置违约罚则。</t>
  </si>
  <si>
    <t>实施“疑似漏气工单”稽查制度，例如，AI分析智能稽查、人工事后稽查等方式。</t>
  </si>
  <si>
    <t>1、设立专职应急抢险班组：设置专职应急抢险队，实行24小时服务，负责紧急漏气报修。与维修班组职责分离，确保应急响应的专业性和速度。
2、建立“平急结合”机制：在非应急时段，专职应急人员可参与巡检、维修等工作，但必须保证随时可响应紧急呼叫。</t>
  </si>
  <si>
    <t>1、梳理不同类型用户的分级催费及欠费处理机制，建立系统化、自动化的催费流程，固化电子证据链。
2、用户画像体系覆盖信用评价体系，根据付款及时性、合作年限、欠费金额等动态评分。对低信用或违约客户，在合同中约定并执行制约措施，如：收取滞纳金、要求预付款或提供担保、限制办理增容等新业务，直至按约定暂停供气。</t>
  </si>
  <si>
    <t>系统仅支持实时上传或自动生成带时间水印照片，或控制校验图片增加时间、地点等。</t>
  </si>
  <si>
    <t>1、引入OCR识别技术，提升识别成功率,或将PDA设备升级，或更换成高识别度的移动设备（如手机/Pad等）。
2、增加“读数区间”逻辑校验：系统根据该用户历史用气规律，设置本次读数的合理区间。若录入值超出区间，系统自动预警，需重新拍照确认。</t>
  </si>
  <si>
    <t>建立工单全过程线上高效管理机制：
1、系统通过精准网格区域管理，提高诉求派工准确性。
2、系统精准统计转办时效情况，并对转办时效进行考核。</t>
  </si>
  <si>
    <t>1、建立高压表具专项监控与数据分析模型：对高压表具读数进行连续跟踪，利用大数据分析识别异常漂移规律。发现漂数问题，请第三方权威检定。
2、制定异常计量气费结算办法：根据检定结果和历史数据，明确气费扣减、补偿的计算方法与审批权限，杜绝人为谈判空间。</t>
  </si>
  <si>
    <t>1、实现计费周期与自然月的精准对齐。按实际用气日（如读取每月最后一天的表底）生成账单，即使账单在次月开具，收入归属期也应准确记为上月。
2、规范收入确认会计政策：与财务部门协同，明确基于实际用气量确认收入的会计原则，确保财务报表、管理报表与客户函证数据的内在一致性。</t>
  </si>
  <si>
    <t>梳理用户质疑燃气公司计量计费的有关问题，点对点出具解决方案。若属燃气公司责任，应制定并告知整改计划；若属用户责任，提供解决方案并督促用户整改。
例如：分析用户历史用气数据，现场排查检测，若仍存争议，共同委托第三方机构进行检定等。
同时，将每个事件的处理过程与结论留痕管理，作为后续气费结算或争议处理的依据。</t>
  </si>
  <si>
    <t>已开票账单取消后，自动作废对应的发票。
同时控制发票系统权限，仅允许业务事件触发发票开具。</t>
  </si>
  <si>
    <t>利用SCADA系统数据，建立高压表具运行情况监控视图，做到异常发生主动预警。</t>
  </si>
  <si>
    <t>燃气安全检查标准不统一：各层级政府部门及行业主管单位开展燃气安全检查时，无明确的检查标准；引用法规指引及条例较多，且部分内容为非强制执行标准，各分子公司对此产生争议</t>
  </si>
  <si>
    <t>京桥和郑常庄两家电厂台同已过期，旧合同采暖用气签订发电价格，平均每立方米单价少收0.18元，每家涉及金额大约500万元，因此新合同迟迟未签。</t>
  </si>
  <si>
    <t>支持多模式结算。</t>
  </si>
  <si>
    <t>明确资产归属单位与运营单位。</t>
  </si>
  <si>
    <t>技能补充/网格派工。
建议巡检期间安排部分维修工在对应区域值守，发现问题后能够及时上门解决。</t>
  </si>
  <si>
    <t>基于画像的安全检查标准。
根据各方要求，联合各公司业务主管与骨干，制定集团统一安全标准，并主动积极获取各方认同。</t>
  </si>
  <si>
    <t>调研市场上是否有更加精密、智能检测设备（例：爬管机器人，定期爬管采集图像，分析数据），或者根据实际需求，联系厂家进行定制。</t>
  </si>
  <si>
    <t>基于表具数据监控情况，筛选需要检定的表具，开展检定工作。
1、推行差异化检定策略。对民用表，在保证首检法律效力的前提下，基于风险评估的抽样检定；对非民用表，采用分级检定，根据表具类型、流量范围、使用年限进行分级，对高风险、大流量表具优先安排全检。
2、利用自动化检定方式，提升批量效率。
3、评估检定业务外包的可行性，以应对峰值需求。</t>
  </si>
  <si>
    <t>供用气合同不走集团合同审批流，对于自行添加条款无法把控，存在合同条款违约风险。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</si>
</sst>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Microsoft YaHei"/>
    </font>
    <font>
      <b/>
      <sz val="10"/>
      <name val="Microsoft YaHei"/>
      <family val="2"/>
      <charset val="134"/>
    </font>
    <font>
      <sz val="10"/>
      <name val="Microsoft YaHei"/>
      <family val="2"/>
      <charset val="134"/>
    </font>
    <font>
      <sz val="9"/>
      <name val="Microsoft YaHei"/>
      <family val="2"/>
      <charset val="134"/>
    </font>
    <font>
      <sz val="9"/>
      <name val="Microsoft YaHei"/>
      <family val="2"/>
      <charset val="134"/>
    </font>
    <font>
      <sz val="10"/>
      <color rgb="FF000000"/>
      <name val="Microsoft YaHei"/>
      <family val="2"/>
      <charset val="134"/>
    </font>
    <font>
      <sz val="9"/>
      <name val="Microsoft YaHei"/>
      <family val="2"/>
      <charset val="134"/>
    </font>
    <font>
      <sz val="10"/>
      <color rgb="FF000000"/>
      <name val="Microsoft YaHei"/>
      <family val="2"/>
      <charset val="134"/>
    </font>
    <font>
      <sz val="10"/>
      <name val="Microsoft YaHei"/>
      <family val="2"/>
      <charset val="134"/>
    </font>
    <font>
      <sz val="11"/>
      <name val="Microsoft YaHei"/>
      <family val="2"/>
      <charset val="134"/>
    </font>
    <font>
      <sz val="9"/>
      <name val="Microsoft YaHei"/>
      <family val="2"/>
      <charset val="134"/>
    </font>
    <font>
      <sz val="11"/>
      <name val="Microsoft YaHei"/>
      <family val="2"/>
      <charset val="134"/>
    </font>
    <font>
      <sz val="11"/>
      <name val="Microsoft YaHei"/>
      <family val="2"/>
      <charset val="134"/>
    </font>
    <font>
      <sz val="11"/>
      <name val="Microsoft YaHei"/>
      <family val="2"/>
      <charset val="134"/>
    </font>
    <font>
      <b/>
      <sz val="11"/>
      <name val="Microsoft YaHei"/>
      <family val="2"/>
      <charset val="134"/>
    </font>
    <font>
      <sz val="9"/>
      <name val="宋体"/>
      <family val="3"/>
      <charset val="134"/>
    </font>
  </fonts>
  <fills count="11">
    <fill>
      <patternFill patternType="none"/>
    </fill>
    <fill>
      <patternFill patternType="gray125"/>
    </fill>
    <fill>
      <patternFill patternType="solid">
        <fgColor rgb="FFE5EFFF"/>
      </patternFill>
    </fill>
    <fill>
      <patternFill patternType="solid">
        <fgColor rgb="FFE5EFFF"/>
      </patternFill>
    </fill>
    <fill>
      <patternFill patternType="none">
        <fgColor auto="1"/>
        <bgColor auto="1"/>
      </patternFill>
    </fill>
    <fill>
      <patternFill patternType="solid">
        <fgColor rgb="FFD8D8D8"/>
      </patternFill>
    </fill>
    <fill>
      <patternFill patternType="solid">
        <fgColor rgb="FFD8D8D8"/>
      </patternFill>
    </fill>
    <fill>
      <patternFill patternType="solid">
        <fgColor rgb="FFD8D8D8"/>
      </patternFill>
    </fill>
    <fill>
      <patternFill patternType="none"/>
    </fill>
    <fill>
      <patternFill patternType="none"/>
    </fill>
    <fill>
      <patternFill patternType="solid">
        <fgColor rgb="FFFFE9E8"/>
      </patternFill>
    </fill>
  </fills>
  <borders count="11">
    <border>
      <left/>
      <right/>
      <top/>
      <bottom/>
      <diagonal/>
    </border>
    <border>
      <left/>
      <right/>
      <top/>
      <bottom/>
      <diagonal/>
    </border>
    <border>
      <left/>
      <right/>
      <top/>
      <bottom/>
      <diagonal/>
    </border>
    <border>
      <left/>
      <right/>
      <top/>
      <bottom/>
      <diagonal/>
    </border>
    <border diagonalUp="1" diagonalDown="1">
      <left/>
      <right/>
      <top/>
      <bottom/>
      <diagonal/>
    </border>
    <border>
      <left/>
      <right/>
      <top/>
      <bottom/>
      <diagonal/>
    </border>
    <border diagonalUp="1" diagonalDown="1">
      <left/>
      <right/>
      <top/>
      <bottom/>
      <diagonal/>
    </border>
    <border>
      <left/>
      <right/>
      <top/>
      <bottom/>
      <diagonal/>
    </border>
    <border diagonalUp="1" diagonalDown="1">
      <left/>
      <right/>
      <top/>
      <bottom/>
      <diagonal/>
    </border>
    <border>
      <left/>
      <right/>
      <top/>
      <bottom/>
      <diagonal/>
    </border>
    <border diagonalUp="1" diagonalDown="1">
      <left/>
      <right/>
      <top/>
      <bottom/>
      <diagonal/>
    </border>
  </borders>
  <cellStyleXfs count="1">
    <xf numFmtId="0" fontId="0" fillId="0" borderId="0">
      <alignment vertical="center"/>
    </xf>
  </cellStyleXfs>
  <cellXfs count="83">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vertical="center" wrapText="1"/>
    </xf>
    <xf numFmtId="0" fontId="1" fillId="3" borderId="0" xfId="0" applyFont="1" applyFill="1">
      <alignment vertical="center"/>
    </xf>
    <xf numFmtId="0" fontId="2" fillId="0" borderId="0" xfId="0" applyFont="1" applyAlignment="1">
      <alignment horizontal="center" vertical="center"/>
    </xf>
    <xf numFmtId="0" fontId="2" fillId="0" borderId="1" xfId="0" applyFont="1" applyBorder="1">
      <alignment vertical="center"/>
    </xf>
    <xf numFmtId="0" fontId="2" fillId="0" borderId="0" xfId="0" applyFont="1" applyAlignment="1">
      <alignment vertical="center" wrapText="1"/>
    </xf>
    <xf numFmtId="0" fontId="3" fillId="0" borderId="0" xfId="0" applyFont="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2" fillId="0" borderId="0" xfId="0" applyFont="1" applyAlignment="1">
      <alignment vertical="center" wrapText="1"/>
    </xf>
    <xf numFmtId="0" fontId="6" fillId="0" borderId="0" xfId="0" applyFont="1" applyAlignment="1">
      <alignment horizontal="center" vertical="center"/>
    </xf>
    <xf numFmtId="0" fontId="2" fillId="0" borderId="0" xfId="0" applyFont="1">
      <alignment vertical="center"/>
    </xf>
    <xf numFmtId="0" fontId="3" fillId="0" borderId="0" xfId="0" applyFont="1">
      <alignment vertical="center"/>
    </xf>
    <xf numFmtId="0" fontId="8" fillId="0" borderId="0" xfId="0" applyFont="1">
      <alignment vertical="center"/>
    </xf>
    <xf numFmtId="0" fontId="9" fillId="4" borderId="4" xfId="0" applyFont="1" applyFill="1" applyBorder="1" applyAlignment="1">
      <alignment vertical="center" wrapText="1"/>
    </xf>
    <xf numFmtId="0" fontId="10" fillId="0" borderId="0" xfId="0" applyFont="1" applyAlignment="1">
      <alignment horizontal="center" vertical="center"/>
    </xf>
    <xf numFmtId="0" fontId="11" fillId="0" borderId="0" xfId="0" applyFont="1">
      <alignment vertical="center"/>
    </xf>
    <xf numFmtId="0" fontId="11" fillId="0" borderId="0" xfId="0" applyFont="1" applyAlignment="1">
      <alignment vertical="center" wrapText="1"/>
    </xf>
    <xf numFmtId="0" fontId="2" fillId="0" borderId="1" xfId="0" applyFont="1" applyBorder="1">
      <alignment vertical="center"/>
    </xf>
    <xf numFmtId="0" fontId="11" fillId="0" borderId="0" xfId="0" applyFont="1" applyAlignment="1">
      <alignment vertical="center" wrapText="1"/>
    </xf>
    <xf numFmtId="0" fontId="3" fillId="5" borderId="0" xfId="0" applyFont="1" applyFill="1" applyAlignment="1">
      <alignment horizontal="center" vertical="center"/>
    </xf>
    <xf numFmtId="0" fontId="3" fillId="6" borderId="0" xfId="0" applyFont="1" applyFill="1">
      <alignment vertical="center"/>
    </xf>
    <xf numFmtId="0" fontId="3" fillId="6" borderId="0" xfId="0" applyFont="1" applyFill="1" applyAlignment="1">
      <alignment horizontal="center" vertical="center"/>
    </xf>
    <xf numFmtId="0" fontId="11" fillId="6" borderId="0" xfId="0" applyFont="1" applyFill="1" applyAlignment="1">
      <alignment vertical="center" wrapText="1"/>
    </xf>
    <xf numFmtId="0" fontId="12" fillId="0" borderId="0" xfId="0" applyFont="1" applyAlignment="1">
      <alignment vertical="center" wrapText="1"/>
    </xf>
    <xf numFmtId="0" fontId="6" fillId="6" borderId="0" xfId="0" applyFont="1" applyFill="1" applyAlignment="1">
      <alignment horizontal="center" vertical="center"/>
    </xf>
    <xf numFmtId="0" fontId="6" fillId="6" borderId="0" xfId="0" applyFont="1" applyFill="1">
      <alignment vertical="center"/>
    </xf>
    <xf numFmtId="0" fontId="12" fillId="6" borderId="0" xfId="0" applyFont="1" applyFill="1" applyAlignment="1">
      <alignment vertical="center" wrapText="1"/>
    </xf>
    <xf numFmtId="0" fontId="2" fillId="7" borderId="0" xfId="0" applyFont="1" applyFill="1">
      <alignment vertical="center"/>
    </xf>
    <xf numFmtId="0" fontId="11" fillId="4" borderId="4" xfId="0" applyFont="1" applyFill="1" applyBorder="1">
      <alignment vertical="center"/>
    </xf>
    <xf numFmtId="0" fontId="6" fillId="8" borderId="0" xfId="0" applyFont="1" applyFill="1" applyAlignment="1">
      <alignment horizontal="center" vertical="center"/>
    </xf>
    <xf numFmtId="0" fontId="3" fillId="8" borderId="0" xfId="0" applyFont="1" applyFill="1">
      <alignment vertical="center"/>
    </xf>
    <xf numFmtId="0" fontId="2" fillId="0" borderId="0" xfId="0" applyFont="1">
      <alignment vertical="center"/>
    </xf>
    <xf numFmtId="0" fontId="6" fillId="0" borderId="0" xfId="0" applyFont="1">
      <alignment vertical="center"/>
    </xf>
    <xf numFmtId="0" fontId="13" fillId="0" borderId="0" xfId="0" applyFont="1" applyAlignment="1">
      <alignment vertical="center" wrapText="1"/>
    </xf>
    <xf numFmtId="0" fontId="11" fillId="0" borderId="0" xfId="0" applyFont="1" applyAlignment="1">
      <alignment vertical="center" wrapText="1"/>
    </xf>
    <xf numFmtId="0" fontId="2" fillId="0" borderId="0" xfId="0" applyFont="1" applyAlignment="1">
      <alignment vertical="center" wrapText="1"/>
    </xf>
    <xf numFmtId="0" fontId="11" fillId="6" borderId="0" xfId="0" applyFont="1" applyFill="1">
      <alignment vertical="center"/>
    </xf>
    <xf numFmtId="0" fontId="3" fillId="8" borderId="0" xfId="0" applyFont="1" applyFill="1" applyAlignment="1">
      <alignment horizontal="center" vertical="center"/>
    </xf>
    <xf numFmtId="0" fontId="2" fillId="9" borderId="0" xfId="0" applyFont="1" applyFill="1" applyAlignment="1">
      <alignment vertical="center" wrapText="1"/>
    </xf>
    <xf numFmtId="0" fontId="2" fillId="9" borderId="0" xfId="0" applyFont="1" applyFill="1" applyAlignment="1">
      <alignment vertical="center" wrapText="1"/>
    </xf>
    <xf numFmtId="0" fontId="2" fillId="0" borderId="0" xfId="0" applyFont="1">
      <alignment vertical="center"/>
    </xf>
    <xf numFmtId="0" fontId="12" fillId="8" borderId="4" xfId="0" applyFont="1" applyFill="1" applyBorder="1" applyAlignment="1">
      <alignment vertical="center" wrapText="1"/>
    </xf>
    <xf numFmtId="0" fontId="8" fillId="0" borderId="0" xfId="0" applyFont="1" applyAlignment="1">
      <alignment vertical="center" wrapText="1"/>
    </xf>
    <xf numFmtId="0" fontId="2" fillId="10" borderId="0" xfId="0" applyFont="1" applyFill="1" applyAlignment="1">
      <alignment vertical="center" wrapText="1"/>
    </xf>
    <xf numFmtId="0" fontId="14" fillId="2" borderId="0" xfId="0" applyFont="1" applyFill="1">
      <alignment vertical="center"/>
    </xf>
    <xf numFmtId="0" fontId="2" fillId="0" borderId="0" xfId="0" applyFont="1" applyFill="1" applyAlignment="1">
      <alignment horizontal="center" vertical="center"/>
    </xf>
    <xf numFmtId="0" fontId="11" fillId="0" borderId="0" xfId="0" applyFont="1" applyFill="1" applyAlignment="1">
      <alignment vertical="center" wrapText="1"/>
    </xf>
    <xf numFmtId="0" fontId="3" fillId="0" borderId="0" xfId="0" applyFont="1" applyFill="1" applyAlignment="1">
      <alignment horizontal="center" vertical="center"/>
    </xf>
    <xf numFmtId="0" fontId="3" fillId="0" borderId="0" xfId="0" applyFont="1" applyFill="1">
      <alignment vertical="center"/>
    </xf>
    <xf numFmtId="0" fontId="2" fillId="0" borderId="0" xfId="0" applyFont="1" applyFill="1">
      <alignment vertical="center"/>
    </xf>
    <xf numFmtId="0" fontId="0" fillId="0" borderId="0" xfId="0" applyFill="1">
      <alignment vertical="center"/>
    </xf>
    <xf numFmtId="0" fontId="11" fillId="0" borderId="0" xfId="0" applyFont="1">
      <alignment vertical="center"/>
    </xf>
    <xf numFmtId="0" fontId="2" fillId="0" borderId="0" xfId="0" applyFont="1">
      <alignment vertical="center"/>
    </xf>
    <xf numFmtId="0" fontId="11" fillId="0" borderId="0" xfId="0" applyFont="1" applyAlignment="1">
      <alignment vertical="center" wrapText="1"/>
    </xf>
    <xf numFmtId="0" fontId="2" fillId="0" borderId="0" xfId="0" applyFont="1" applyAlignment="1">
      <alignment horizontal="center" vertical="center"/>
    </xf>
    <xf numFmtId="0" fontId="11" fillId="4" borderId="4" xfId="0" applyFont="1" applyFill="1" applyBorder="1">
      <alignment vertical="center"/>
    </xf>
    <xf numFmtId="0" fontId="2" fillId="0" borderId="8"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lignment vertical="center"/>
    </xf>
    <xf numFmtId="0" fontId="2" fillId="0" borderId="0" xfId="0" applyFont="1" applyAlignment="1">
      <alignment vertical="center" wrapText="1"/>
    </xf>
    <xf numFmtId="0" fontId="2" fillId="0" borderId="1" xfId="0" applyFont="1" applyFill="1" applyBorder="1" applyAlignment="1">
      <alignment horizontal="center" vertical="center"/>
    </xf>
    <xf numFmtId="0" fontId="0" fillId="0" borderId="3" xfId="0" applyFill="1" applyBorder="1">
      <alignment vertical="center"/>
    </xf>
    <xf numFmtId="0" fontId="2" fillId="0" borderId="0" xfId="0" applyFont="1" applyFill="1" applyAlignment="1">
      <alignment horizontal="center" vertical="center"/>
    </xf>
    <xf numFmtId="0" fontId="1" fillId="3" borderId="0" xfId="0" applyFont="1" applyFill="1" applyAlignment="1">
      <alignment horizontal="center" vertical="center"/>
    </xf>
    <xf numFmtId="0" fontId="14" fillId="2" borderId="0" xfId="0" applyFont="1" applyFill="1">
      <alignment vertical="center"/>
    </xf>
    <xf numFmtId="0" fontId="7" fillId="0" borderId="0" xfId="0" applyFont="1" applyAlignment="1">
      <alignment vertical="center" wrapText="1"/>
    </xf>
    <xf numFmtId="0" fontId="1" fillId="3" borderId="1" xfId="0" applyFont="1" applyFill="1" applyBorder="1" applyAlignment="1">
      <alignment horizontal="center" vertical="center"/>
    </xf>
    <xf numFmtId="0" fontId="0" fillId="0" borderId="2" xfId="0" applyBorder="1">
      <alignment vertical="center"/>
    </xf>
    <xf numFmtId="0" fontId="3" fillId="0" borderId="0" xfId="0" applyFont="1" applyAlignment="1">
      <alignment horizontal="center" vertical="center"/>
    </xf>
    <xf numFmtId="0" fontId="3" fillId="0" borderId="0" xfId="0" applyFont="1">
      <alignment vertical="center"/>
    </xf>
    <xf numFmtId="0" fontId="2" fillId="0" borderId="3" xfId="0" applyFont="1" applyBorder="1">
      <alignment vertical="center"/>
    </xf>
    <xf numFmtId="0" fontId="0" fillId="0" borderId="5" xfId="0" applyBorder="1">
      <alignment vertical="center"/>
    </xf>
    <xf numFmtId="0" fontId="2" fillId="0" borderId="1" xfId="0" applyFont="1" applyBorder="1">
      <alignment vertical="center"/>
    </xf>
    <xf numFmtId="0" fontId="0" fillId="0" borderId="3" xfId="0" applyBorder="1">
      <alignment vertical="center"/>
    </xf>
    <xf numFmtId="0" fontId="5" fillId="0" borderId="1" xfId="0" applyFont="1" applyBorder="1" applyAlignment="1">
      <alignment vertical="center" wrapText="1"/>
    </xf>
    <xf numFmtId="0" fontId="2" fillId="0" borderId="8" xfId="0" applyFont="1" applyBorder="1">
      <alignment vertical="center"/>
    </xf>
    <xf numFmtId="0" fontId="2" fillId="0" borderId="0" xfId="0" applyFont="1" applyFill="1">
      <alignment vertical="center"/>
    </xf>
    <xf numFmtId="0" fontId="2" fillId="0" borderId="6" xfId="0" applyFont="1" applyBorder="1">
      <alignment vertical="center"/>
    </xf>
    <xf numFmtId="0" fontId="0" fillId="0" borderId="9" xfId="0" applyBorder="1">
      <alignment vertical="center"/>
    </xf>
    <xf numFmtId="0" fontId="2" fillId="0" borderId="10" xfId="0" applyFont="1" applyBorder="1">
      <alignment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0"/>
  <sheetViews>
    <sheetView tabSelected="1" zoomScaleNormal="100" workbookViewId="0">
      <pane xSplit="4" ySplit="1" topLeftCell="E2" activePane="bottomRight" state="frozen"/>
      <selection pane="topRight"/>
      <selection pane="bottomLeft"/>
      <selection pane="bottomRight" activeCell="G84" sqref="G84"/>
    </sheetView>
  </sheetViews>
  <sheetFormatPr defaultColWidth="14.21875" defaultRowHeight="18" customHeight="1"/>
  <cols>
    <col min="1" max="1" width="8.88671875" style="4" customWidth="1"/>
    <col min="2" max="2" width="10.21875" style="4" customWidth="1"/>
    <col min="3" max="3" width="17.44140625" style="42" customWidth="1"/>
    <col min="4" max="4" width="68.44140625" style="10" customWidth="1"/>
    <col min="5" max="5" width="18.21875" style="4" customWidth="1"/>
    <col min="6" max="6" width="15.5546875" style="42" customWidth="1"/>
    <col min="7" max="7" width="23" style="4" customWidth="1"/>
    <col min="8" max="8" width="73.109375" style="42" customWidth="1"/>
    <col min="9" max="28" width="13.6640625" style="42"/>
  </cols>
  <sheetData>
    <row r="1" spans="1:28" s="46" customFormat="1" ht="16.5">
      <c r="A1" s="1" t="s">
        <v>0</v>
      </c>
      <c r="B1" s="1" t="s">
        <v>1</v>
      </c>
      <c r="C1" s="1" t="s">
        <v>2</v>
      </c>
      <c r="D1" s="2" t="s">
        <v>3</v>
      </c>
      <c r="E1" s="65" t="s">
        <v>4</v>
      </c>
      <c r="F1" s="66"/>
      <c r="G1" s="68" t="s">
        <v>5</v>
      </c>
      <c r="H1" s="69"/>
      <c r="I1" s="3"/>
      <c r="J1" s="3"/>
      <c r="K1" s="3"/>
      <c r="L1" s="3"/>
      <c r="M1" s="3"/>
      <c r="N1" s="3"/>
      <c r="O1" s="3"/>
      <c r="P1" s="3"/>
      <c r="Q1" s="3"/>
      <c r="R1" s="3"/>
      <c r="S1" s="3"/>
      <c r="T1" s="3"/>
      <c r="U1" s="3"/>
      <c r="V1" s="3"/>
      <c r="W1" s="3"/>
      <c r="X1" s="3"/>
      <c r="Y1" s="3"/>
      <c r="Z1" s="3"/>
      <c r="AA1" s="3"/>
      <c r="AB1" s="3"/>
    </row>
    <row r="2" spans="1:28" ht="32.25" customHeight="1">
      <c r="A2" s="4">
        <f t="shared" ref="A2:A33" si="0">ROW()-1</f>
        <v>1</v>
      </c>
      <c r="B2" s="82" t="s">
        <v>6</v>
      </c>
      <c r="C2" s="74" t="s">
        <v>7</v>
      </c>
      <c r="D2" s="6" t="s">
        <v>283</v>
      </c>
      <c r="E2" s="7" t="s">
        <v>8</v>
      </c>
      <c r="F2" s="8" t="s">
        <v>9</v>
      </c>
      <c r="G2" s="9" t="s">
        <v>10</v>
      </c>
      <c r="H2" s="76" t="s">
        <v>262</v>
      </c>
    </row>
    <row r="3" spans="1:28" ht="32.25" customHeight="1">
      <c r="A3" s="4">
        <f t="shared" si="0"/>
        <v>2</v>
      </c>
      <c r="B3" s="56"/>
      <c r="C3" s="75"/>
      <c r="D3" s="6" t="s">
        <v>11</v>
      </c>
      <c r="E3" s="7" t="s">
        <v>8</v>
      </c>
      <c r="F3" s="8" t="s">
        <v>9</v>
      </c>
      <c r="G3" s="9" t="s">
        <v>10</v>
      </c>
      <c r="H3" s="75"/>
    </row>
    <row r="4" spans="1:28" ht="27.75" customHeight="1">
      <c r="A4" s="4">
        <f t="shared" si="0"/>
        <v>3</v>
      </c>
      <c r="B4" s="56"/>
      <c r="C4" s="75"/>
      <c r="D4" s="6" t="s">
        <v>12</v>
      </c>
      <c r="E4" s="7" t="s">
        <v>8</v>
      </c>
      <c r="F4" s="8" t="s">
        <v>9</v>
      </c>
      <c r="G4" s="9" t="s">
        <v>10</v>
      </c>
      <c r="H4" s="75"/>
    </row>
    <row r="5" spans="1:28" ht="42.75" customHeight="1">
      <c r="A5" s="4">
        <f t="shared" si="0"/>
        <v>4</v>
      </c>
      <c r="B5" s="56"/>
      <c r="C5" s="54"/>
      <c r="D5" s="10" t="s">
        <v>276</v>
      </c>
      <c r="E5" s="11" t="s">
        <v>8</v>
      </c>
      <c r="F5" s="8" t="s">
        <v>9</v>
      </c>
      <c r="G5" s="9" t="s">
        <v>10</v>
      </c>
      <c r="H5" s="54"/>
    </row>
    <row r="6" spans="1:28" ht="16.5">
      <c r="A6" s="4">
        <f t="shared" si="0"/>
        <v>5</v>
      </c>
      <c r="B6" s="56"/>
      <c r="C6" s="54" t="s">
        <v>13</v>
      </c>
      <c r="D6" s="6" t="s">
        <v>14</v>
      </c>
      <c r="E6" s="7" t="s">
        <v>8</v>
      </c>
      <c r="F6" s="13" t="s">
        <v>15</v>
      </c>
      <c r="G6" s="9" t="s">
        <v>16</v>
      </c>
      <c r="H6" s="67" t="s">
        <v>266</v>
      </c>
    </row>
    <row r="7" spans="1:28" ht="56.25" customHeight="1">
      <c r="A7" s="4">
        <f t="shared" si="0"/>
        <v>6</v>
      </c>
      <c r="B7" s="56"/>
      <c r="C7" s="54"/>
      <c r="D7" s="6" t="s">
        <v>17</v>
      </c>
      <c r="E7" s="7" t="s">
        <v>18</v>
      </c>
      <c r="F7" s="13" t="s">
        <v>15</v>
      </c>
      <c r="G7" s="9" t="s">
        <v>16</v>
      </c>
      <c r="H7" s="54"/>
    </row>
    <row r="8" spans="1:28" ht="66">
      <c r="A8" s="4">
        <f t="shared" si="0"/>
        <v>7</v>
      </c>
      <c r="B8" s="56"/>
      <c r="C8" s="54"/>
      <c r="D8" s="6" t="s">
        <v>19</v>
      </c>
      <c r="E8" s="7" t="s">
        <v>18</v>
      </c>
      <c r="F8" s="13" t="s">
        <v>20</v>
      </c>
      <c r="G8" s="9" t="s">
        <v>21</v>
      </c>
      <c r="H8" s="44" t="s">
        <v>272</v>
      </c>
    </row>
    <row r="9" spans="1:28" ht="27.75" customHeight="1">
      <c r="A9" s="4">
        <f t="shared" si="0"/>
        <v>8</v>
      </c>
      <c r="B9" s="56"/>
      <c r="C9" s="54" t="s">
        <v>22</v>
      </c>
      <c r="D9" s="6" t="s">
        <v>23</v>
      </c>
      <c r="E9" s="7" t="s">
        <v>24</v>
      </c>
      <c r="F9" s="13" t="s">
        <v>25</v>
      </c>
      <c r="G9" s="9" t="s">
        <v>10</v>
      </c>
      <c r="H9" s="14" t="s">
        <v>267</v>
      </c>
    </row>
    <row r="10" spans="1:28" ht="69" customHeight="1">
      <c r="A10" s="4">
        <f t="shared" si="0"/>
        <v>9</v>
      </c>
      <c r="B10" s="56"/>
      <c r="C10" s="54"/>
      <c r="D10" s="6" t="s">
        <v>26</v>
      </c>
      <c r="E10" s="7" t="s">
        <v>27</v>
      </c>
      <c r="F10" s="13" t="s">
        <v>20</v>
      </c>
      <c r="G10" s="9" t="s">
        <v>28</v>
      </c>
      <c r="H10" s="44" t="s">
        <v>268</v>
      </c>
    </row>
    <row r="11" spans="1:28" ht="66">
      <c r="A11" s="4">
        <f t="shared" si="0"/>
        <v>10</v>
      </c>
      <c r="B11" s="56"/>
      <c r="C11" s="54" t="s">
        <v>29</v>
      </c>
      <c r="D11" s="6" t="s">
        <v>30</v>
      </c>
      <c r="E11" s="7" t="s">
        <v>18</v>
      </c>
      <c r="F11" s="13" t="s">
        <v>20</v>
      </c>
      <c r="G11" s="9" t="s">
        <v>21</v>
      </c>
      <c r="H11" s="44" t="s">
        <v>272</v>
      </c>
    </row>
    <row r="12" spans="1:28" ht="55.5" customHeight="1">
      <c r="A12" s="4">
        <f t="shared" si="0"/>
        <v>11</v>
      </c>
      <c r="B12" s="56"/>
      <c r="C12" s="54"/>
      <c r="D12" s="6" t="s">
        <v>31</v>
      </c>
      <c r="E12" s="7" t="s">
        <v>32</v>
      </c>
      <c r="F12" s="13" t="s">
        <v>33</v>
      </c>
      <c r="G12" s="9" t="s">
        <v>34</v>
      </c>
      <c r="H12" s="15" t="s">
        <v>269</v>
      </c>
    </row>
    <row r="13" spans="1:28" ht="68.25" customHeight="1">
      <c r="A13" s="4">
        <f t="shared" si="0"/>
        <v>12</v>
      </c>
      <c r="B13" s="56"/>
      <c r="C13" s="74" t="s">
        <v>35</v>
      </c>
      <c r="D13" s="6" t="s">
        <v>36</v>
      </c>
      <c r="E13" s="7" t="s">
        <v>37</v>
      </c>
      <c r="F13" s="13" t="s">
        <v>20</v>
      </c>
      <c r="G13" s="16" t="s">
        <v>21</v>
      </c>
      <c r="H13" s="44" t="s">
        <v>270</v>
      </c>
    </row>
    <row r="14" spans="1:28" ht="66">
      <c r="A14" s="4">
        <f t="shared" si="0"/>
        <v>13</v>
      </c>
      <c r="B14" s="56"/>
      <c r="C14" s="73"/>
      <c r="D14" s="6" t="s">
        <v>38</v>
      </c>
      <c r="E14" s="7" t="s">
        <v>18</v>
      </c>
      <c r="F14" s="13" t="s">
        <v>20</v>
      </c>
      <c r="G14" s="7" t="s">
        <v>21</v>
      </c>
      <c r="H14" s="24" t="s">
        <v>271</v>
      </c>
    </row>
    <row r="15" spans="1:28" ht="27.75" customHeight="1">
      <c r="A15" s="4">
        <f t="shared" si="0"/>
        <v>14</v>
      </c>
      <c r="B15" s="56"/>
      <c r="C15" s="72" t="s">
        <v>39</v>
      </c>
      <c r="D15" s="6" t="s">
        <v>40</v>
      </c>
      <c r="E15" s="7" t="s">
        <v>24</v>
      </c>
      <c r="F15" s="13" t="s">
        <v>15</v>
      </c>
      <c r="G15" s="70" t="s">
        <v>10</v>
      </c>
      <c r="H15" s="55" t="s">
        <v>273</v>
      </c>
    </row>
    <row r="16" spans="1:28" ht="27.75" customHeight="1">
      <c r="A16" s="4">
        <f t="shared" si="0"/>
        <v>15</v>
      </c>
      <c r="B16" s="56"/>
      <c r="C16" s="73"/>
      <c r="D16" s="10" t="s">
        <v>41</v>
      </c>
      <c r="E16" s="11" t="s">
        <v>24</v>
      </c>
      <c r="F16" s="13" t="s">
        <v>15</v>
      </c>
      <c r="G16" s="71"/>
      <c r="H16" s="54"/>
    </row>
    <row r="17" spans="1:8" ht="42" customHeight="1">
      <c r="A17" s="4">
        <f t="shared" si="0"/>
        <v>16</v>
      </c>
      <c r="B17" s="56"/>
      <c r="C17" s="5" t="s">
        <v>42</v>
      </c>
      <c r="D17" s="6" t="s">
        <v>43</v>
      </c>
      <c r="E17" s="7" t="s">
        <v>24</v>
      </c>
      <c r="F17" s="13" t="s">
        <v>44</v>
      </c>
      <c r="G17" s="7" t="s">
        <v>10</v>
      </c>
      <c r="H17" s="17" t="s">
        <v>274</v>
      </c>
    </row>
    <row r="18" spans="1:8" ht="37.5" customHeight="1">
      <c r="A18" s="4">
        <f t="shared" si="0"/>
        <v>17</v>
      </c>
      <c r="B18" s="56"/>
      <c r="C18" s="19" t="s">
        <v>45</v>
      </c>
      <c r="D18" s="6" t="s">
        <v>46</v>
      </c>
      <c r="E18" s="7" t="s">
        <v>8</v>
      </c>
      <c r="F18" s="13" t="s">
        <v>44</v>
      </c>
      <c r="G18" s="7" t="s">
        <v>16</v>
      </c>
      <c r="H18" s="17" t="s">
        <v>47</v>
      </c>
    </row>
    <row r="19" spans="1:8" ht="27.75" customHeight="1">
      <c r="A19" s="4">
        <f t="shared" si="0"/>
        <v>18</v>
      </c>
      <c r="B19" s="56"/>
      <c r="C19" s="61" t="s">
        <v>48</v>
      </c>
      <c r="D19" s="20" t="s">
        <v>49</v>
      </c>
      <c r="E19" s="21" t="s">
        <v>50</v>
      </c>
      <c r="F19" s="22"/>
      <c r="G19" s="23"/>
      <c r="H19" s="24"/>
    </row>
    <row r="20" spans="1:8" ht="27.75" customHeight="1">
      <c r="A20" s="4">
        <f t="shared" si="0"/>
        <v>19</v>
      </c>
      <c r="B20" s="56"/>
      <c r="C20" s="54"/>
      <c r="D20" s="25" t="s">
        <v>51</v>
      </c>
      <c r="E20" s="26" t="s">
        <v>50</v>
      </c>
      <c r="F20" s="27"/>
      <c r="G20" s="26"/>
      <c r="H20" s="28" t="s">
        <v>278</v>
      </c>
    </row>
    <row r="21" spans="1:8" ht="27.75" customHeight="1">
      <c r="A21" s="4">
        <f t="shared" si="0"/>
        <v>20</v>
      </c>
      <c r="B21" s="56"/>
      <c r="C21" s="54"/>
      <c r="D21" s="25" t="s">
        <v>52</v>
      </c>
      <c r="E21" s="26" t="s">
        <v>50</v>
      </c>
      <c r="F21" s="27"/>
      <c r="G21" s="26"/>
      <c r="H21" s="28" t="s">
        <v>277</v>
      </c>
    </row>
    <row r="22" spans="1:8" ht="33">
      <c r="A22" s="4">
        <f t="shared" si="0"/>
        <v>21</v>
      </c>
      <c r="B22" s="56" t="s">
        <v>53</v>
      </c>
      <c r="C22" s="54" t="s">
        <v>54</v>
      </c>
      <c r="D22" s="6" t="s">
        <v>55</v>
      </c>
      <c r="E22" s="7" t="s">
        <v>56</v>
      </c>
      <c r="F22" s="13" t="s">
        <v>53</v>
      </c>
      <c r="G22" s="7" t="s">
        <v>34</v>
      </c>
      <c r="H22" s="18" t="s">
        <v>57</v>
      </c>
    </row>
    <row r="23" spans="1:8" ht="33">
      <c r="A23" s="4">
        <f t="shared" si="0"/>
        <v>22</v>
      </c>
      <c r="B23" s="57"/>
      <c r="C23" s="57"/>
      <c r="D23" s="6" t="s">
        <v>58</v>
      </c>
      <c r="E23" s="7" t="s">
        <v>59</v>
      </c>
      <c r="F23" s="13" t="s">
        <v>53</v>
      </c>
      <c r="G23" s="7" t="s">
        <v>16</v>
      </c>
      <c r="H23" s="18" t="s">
        <v>60</v>
      </c>
    </row>
    <row r="24" spans="1:8" ht="34.5" customHeight="1">
      <c r="A24" s="4">
        <f t="shared" si="0"/>
        <v>23</v>
      </c>
      <c r="B24" s="57"/>
      <c r="C24" s="57"/>
      <c r="D24" s="6" t="s">
        <v>61</v>
      </c>
      <c r="E24" s="7" t="s">
        <v>56</v>
      </c>
      <c r="F24" s="13" t="s">
        <v>53</v>
      </c>
      <c r="G24" s="7" t="s">
        <v>62</v>
      </c>
      <c r="H24" s="18" t="s">
        <v>279</v>
      </c>
    </row>
    <row r="25" spans="1:8" ht="33">
      <c r="A25" s="4">
        <f t="shared" si="0"/>
        <v>24</v>
      </c>
      <c r="B25" s="57"/>
      <c r="C25" s="57"/>
      <c r="D25" s="6" t="s">
        <v>63</v>
      </c>
      <c r="E25" s="7" t="s">
        <v>18</v>
      </c>
      <c r="F25" s="13" t="s">
        <v>53</v>
      </c>
      <c r="G25" s="7" t="s">
        <v>21</v>
      </c>
      <c r="H25" s="18" t="s">
        <v>259</v>
      </c>
    </row>
    <row r="26" spans="1:8" ht="33">
      <c r="A26" s="4">
        <f t="shared" si="0"/>
        <v>25</v>
      </c>
      <c r="B26" s="57"/>
      <c r="C26" s="12" t="s">
        <v>64</v>
      </c>
      <c r="D26" s="6" t="s">
        <v>275</v>
      </c>
      <c r="E26" s="7" t="s">
        <v>18</v>
      </c>
      <c r="F26" s="13" t="s">
        <v>53</v>
      </c>
      <c r="G26" s="7" t="s">
        <v>21</v>
      </c>
      <c r="H26" s="18" t="s">
        <v>280</v>
      </c>
    </row>
    <row r="27" spans="1:8" ht="45" customHeight="1">
      <c r="A27" s="4">
        <f t="shared" si="0"/>
        <v>26</v>
      </c>
      <c r="B27" s="57"/>
      <c r="C27" s="54" t="s">
        <v>65</v>
      </c>
      <c r="D27" s="45" t="s">
        <v>66</v>
      </c>
      <c r="E27" s="7" t="s">
        <v>24</v>
      </c>
      <c r="F27" s="13" t="s">
        <v>53</v>
      </c>
      <c r="G27" s="7" t="s">
        <v>10</v>
      </c>
      <c r="H27" s="18" t="s">
        <v>67</v>
      </c>
    </row>
    <row r="28" spans="1:8" ht="56.25" customHeight="1">
      <c r="A28" s="4">
        <f t="shared" si="0"/>
        <v>27</v>
      </c>
      <c r="B28" s="57"/>
      <c r="C28" s="57"/>
      <c r="D28" s="6" t="s">
        <v>68</v>
      </c>
      <c r="E28" s="7" t="s">
        <v>18</v>
      </c>
      <c r="F28" s="13" t="s">
        <v>53</v>
      </c>
      <c r="G28" s="7" t="s">
        <v>69</v>
      </c>
      <c r="H28" s="18" t="s">
        <v>70</v>
      </c>
    </row>
    <row r="29" spans="1:8" ht="39" customHeight="1">
      <c r="A29" s="4">
        <f t="shared" si="0"/>
        <v>28</v>
      </c>
      <c r="B29" s="57"/>
      <c r="C29" s="57"/>
      <c r="D29" s="6" t="s">
        <v>71</v>
      </c>
      <c r="E29" s="7" t="s">
        <v>72</v>
      </c>
      <c r="F29" s="13" t="s">
        <v>53</v>
      </c>
      <c r="G29" s="7" t="s">
        <v>73</v>
      </c>
      <c r="H29" s="18" t="s">
        <v>281</v>
      </c>
    </row>
    <row r="30" spans="1:8" ht="33">
      <c r="A30" s="4">
        <f t="shared" si="0"/>
        <v>29</v>
      </c>
      <c r="B30" s="57"/>
      <c r="C30" s="57"/>
      <c r="D30" s="45" t="s">
        <v>74</v>
      </c>
      <c r="E30" s="7" t="s">
        <v>75</v>
      </c>
      <c r="F30" s="13" t="s">
        <v>53</v>
      </c>
      <c r="G30" s="7" t="s">
        <v>21</v>
      </c>
      <c r="H30" s="18" t="s">
        <v>76</v>
      </c>
    </row>
    <row r="31" spans="1:8" ht="49.5">
      <c r="A31" s="4">
        <f t="shared" si="0"/>
        <v>30</v>
      </c>
      <c r="B31" s="57"/>
      <c r="C31" s="57"/>
      <c r="D31" s="45" t="s">
        <v>77</v>
      </c>
      <c r="E31" s="7" t="s">
        <v>75</v>
      </c>
      <c r="F31" s="13" t="s">
        <v>53</v>
      </c>
      <c r="G31" s="7" t="s">
        <v>16</v>
      </c>
      <c r="H31" s="18" t="s">
        <v>78</v>
      </c>
    </row>
    <row r="32" spans="1:8" ht="27.75" customHeight="1">
      <c r="A32" s="4">
        <f t="shared" si="0"/>
        <v>31</v>
      </c>
      <c r="B32" s="59" t="s">
        <v>79</v>
      </c>
      <c r="C32" s="54" t="s">
        <v>54</v>
      </c>
      <c r="D32" s="6" t="s">
        <v>80</v>
      </c>
      <c r="E32" s="7" t="s">
        <v>75</v>
      </c>
      <c r="F32" s="13" t="s">
        <v>53</v>
      </c>
      <c r="G32" s="7" t="s">
        <v>21</v>
      </c>
      <c r="H32" s="18" t="s">
        <v>81</v>
      </c>
    </row>
    <row r="33" spans="1:8" ht="30" customHeight="1">
      <c r="A33" s="4">
        <f t="shared" si="0"/>
        <v>32</v>
      </c>
      <c r="B33" s="60"/>
      <c r="C33" s="57"/>
      <c r="D33" s="6" t="s">
        <v>82</v>
      </c>
      <c r="E33" s="7" t="s">
        <v>83</v>
      </c>
      <c r="F33" s="13" t="s">
        <v>79</v>
      </c>
      <c r="G33" s="7" t="s">
        <v>16</v>
      </c>
    </row>
    <row r="34" spans="1:8" ht="27.75" customHeight="1">
      <c r="A34" s="4">
        <f t="shared" ref="A34:A65" si="1">ROW()-1</f>
        <v>33</v>
      </c>
      <c r="B34" s="60"/>
      <c r="C34" s="77"/>
      <c r="D34" s="10" t="s">
        <v>84</v>
      </c>
      <c r="E34" s="26" t="s">
        <v>50</v>
      </c>
      <c r="F34" s="22" t="s">
        <v>79</v>
      </c>
      <c r="G34" s="26"/>
      <c r="H34" s="29"/>
    </row>
    <row r="35" spans="1:8" ht="16.5">
      <c r="A35" s="4">
        <f t="shared" si="1"/>
        <v>34</v>
      </c>
      <c r="B35" s="60"/>
      <c r="C35" s="54" t="s">
        <v>85</v>
      </c>
      <c r="D35" s="6" t="s">
        <v>86</v>
      </c>
      <c r="E35" s="7" t="s">
        <v>24</v>
      </c>
      <c r="F35" s="13" t="s">
        <v>79</v>
      </c>
      <c r="G35" s="7" t="s">
        <v>10</v>
      </c>
      <c r="H35" s="30" t="s">
        <v>87</v>
      </c>
    </row>
    <row r="36" spans="1:8" ht="33">
      <c r="A36" s="4">
        <f t="shared" si="1"/>
        <v>35</v>
      </c>
      <c r="B36" s="60"/>
      <c r="C36" s="54"/>
      <c r="D36" s="10" t="s">
        <v>88</v>
      </c>
      <c r="E36" s="31" t="s">
        <v>24</v>
      </c>
      <c r="F36" s="32" t="s">
        <v>79</v>
      </c>
      <c r="G36" s="31" t="s">
        <v>10</v>
      </c>
      <c r="H36" s="43" t="s">
        <v>260</v>
      </c>
    </row>
    <row r="37" spans="1:8" ht="27.75" customHeight="1">
      <c r="A37" s="4">
        <f t="shared" si="1"/>
        <v>36</v>
      </c>
      <c r="B37" s="60"/>
      <c r="C37" s="61" t="s">
        <v>89</v>
      </c>
      <c r="D37" s="6" t="s">
        <v>90</v>
      </c>
      <c r="E37" s="7" t="s">
        <v>91</v>
      </c>
      <c r="F37" s="13" t="s">
        <v>79</v>
      </c>
      <c r="G37" s="7" t="s">
        <v>16</v>
      </c>
      <c r="H37" s="18" t="s">
        <v>92</v>
      </c>
    </row>
    <row r="38" spans="1:8" ht="27.75" customHeight="1">
      <c r="A38" s="4">
        <f t="shared" si="1"/>
        <v>37</v>
      </c>
      <c r="B38" s="60"/>
      <c r="C38" s="57"/>
      <c r="D38" s="6" t="s">
        <v>93</v>
      </c>
      <c r="E38" s="7" t="s">
        <v>8</v>
      </c>
      <c r="F38" s="13" t="s">
        <v>79</v>
      </c>
      <c r="G38" s="7" t="s">
        <v>16</v>
      </c>
      <c r="H38" s="18" t="s">
        <v>94</v>
      </c>
    </row>
    <row r="39" spans="1:8" ht="33">
      <c r="A39" s="4">
        <f t="shared" si="1"/>
        <v>38</v>
      </c>
      <c r="B39" s="60"/>
      <c r="C39" s="57"/>
      <c r="D39" s="6" t="s">
        <v>95</v>
      </c>
      <c r="E39" s="7" t="s">
        <v>96</v>
      </c>
      <c r="F39" s="13" t="s">
        <v>79</v>
      </c>
      <c r="G39" s="7" t="s">
        <v>10</v>
      </c>
      <c r="H39" s="18" t="s">
        <v>97</v>
      </c>
    </row>
    <row r="40" spans="1:8" ht="27.75" customHeight="1">
      <c r="A40" s="4">
        <f t="shared" si="1"/>
        <v>39</v>
      </c>
      <c r="B40" s="56"/>
      <c r="C40" s="54" t="s">
        <v>98</v>
      </c>
      <c r="D40" s="10" t="s">
        <v>99</v>
      </c>
      <c r="E40" s="11" t="s">
        <v>59</v>
      </c>
      <c r="F40" s="34" t="s">
        <v>79</v>
      </c>
      <c r="G40" s="11" t="s">
        <v>21</v>
      </c>
      <c r="H40" s="35" t="s">
        <v>100</v>
      </c>
    </row>
    <row r="41" spans="1:8" ht="42" customHeight="1">
      <c r="A41" s="4">
        <f t="shared" si="1"/>
        <v>40</v>
      </c>
      <c r="B41" s="56"/>
      <c r="C41" s="54"/>
      <c r="D41" s="10" t="s">
        <v>101</v>
      </c>
      <c r="E41" s="11" t="s">
        <v>18</v>
      </c>
      <c r="F41" s="34" t="s">
        <v>79</v>
      </c>
      <c r="G41" s="11" t="s">
        <v>21</v>
      </c>
      <c r="H41" s="18" t="s">
        <v>102</v>
      </c>
    </row>
    <row r="42" spans="1:8" ht="16.5">
      <c r="A42" s="4">
        <f t="shared" si="1"/>
        <v>41</v>
      </c>
      <c r="B42" s="59" t="s">
        <v>103</v>
      </c>
      <c r="C42" s="54" t="s">
        <v>104</v>
      </c>
      <c r="D42" s="6" t="s">
        <v>105</v>
      </c>
      <c r="E42" s="7" t="s">
        <v>24</v>
      </c>
      <c r="F42" s="13" t="s">
        <v>20</v>
      </c>
      <c r="G42" s="7" t="s">
        <v>10</v>
      </c>
      <c r="H42" s="17" t="s">
        <v>106</v>
      </c>
    </row>
    <row r="43" spans="1:8" ht="27.75" customHeight="1">
      <c r="A43" s="4">
        <f t="shared" si="1"/>
        <v>42</v>
      </c>
      <c r="B43" s="75"/>
      <c r="C43" s="54"/>
      <c r="D43" s="10" t="s">
        <v>107</v>
      </c>
      <c r="E43" s="11" t="s">
        <v>24</v>
      </c>
      <c r="F43" s="13" t="s">
        <v>20</v>
      </c>
      <c r="G43" s="11" t="s">
        <v>10</v>
      </c>
      <c r="H43" s="18" t="s">
        <v>108</v>
      </c>
    </row>
    <row r="44" spans="1:8" ht="27.75" customHeight="1">
      <c r="A44" s="4">
        <f t="shared" si="1"/>
        <v>43</v>
      </c>
      <c r="B44" s="75"/>
      <c r="C44" s="54"/>
      <c r="D44" s="10" t="s">
        <v>109</v>
      </c>
      <c r="E44" s="11" t="s">
        <v>24</v>
      </c>
      <c r="F44" s="34" t="s">
        <v>20</v>
      </c>
      <c r="G44" s="11" t="s">
        <v>10</v>
      </c>
      <c r="H44" s="18" t="s">
        <v>110</v>
      </c>
    </row>
    <row r="45" spans="1:8" ht="27.75" customHeight="1">
      <c r="A45" s="4">
        <f t="shared" si="1"/>
        <v>44</v>
      </c>
      <c r="B45" s="75"/>
      <c r="C45" s="54"/>
      <c r="D45" s="10" t="s">
        <v>111</v>
      </c>
      <c r="E45" s="11" t="s">
        <v>24</v>
      </c>
      <c r="F45" s="34" t="s">
        <v>20</v>
      </c>
      <c r="G45" s="11" t="s">
        <v>10</v>
      </c>
      <c r="H45" s="18" t="s">
        <v>112</v>
      </c>
    </row>
    <row r="46" spans="1:8" ht="16.5">
      <c r="A46" s="4">
        <f t="shared" si="1"/>
        <v>45</v>
      </c>
      <c r="B46" s="75"/>
      <c r="C46" s="54"/>
      <c r="D46" s="10" t="s">
        <v>113</v>
      </c>
      <c r="E46" s="11" t="s">
        <v>24</v>
      </c>
      <c r="F46" s="34" t="s">
        <v>20</v>
      </c>
      <c r="G46" s="11" t="s">
        <v>10</v>
      </c>
      <c r="H46" s="17" t="s">
        <v>114</v>
      </c>
    </row>
    <row r="47" spans="1:8" ht="66">
      <c r="A47" s="4">
        <f t="shared" si="1"/>
        <v>46</v>
      </c>
      <c r="B47" s="60"/>
      <c r="C47" s="79" t="s">
        <v>115</v>
      </c>
      <c r="D47" s="6" t="s">
        <v>116</v>
      </c>
      <c r="E47" s="7" t="s">
        <v>75</v>
      </c>
      <c r="F47" s="34" t="s">
        <v>117</v>
      </c>
      <c r="G47" s="7" t="s">
        <v>21</v>
      </c>
      <c r="H47" s="36" t="s">
        <v>118</v>
      </c>
    </row>
    <row r="48" spans="1:8" ht="27.75" customHeight="1">
      <c r="A48" s="4">
        <f t="shared" si="1"/>
        <v>47</v>
      </c>
      <c r="B48" s="60"/>
      <c r="C48" s="60"/>
      <c r="D48" s="6" t="s">
        <v>119</v>
      </c>
      <c r="E48" s="7" t="s">
        <v>75</v>
      </c>
      <c r="F48" s="34" t="s">
        <v>120</v>
      </c>
      <c r="G48" s="7" t="s">
        <v>21</v>
      </c>
      <c r="H48" s="18" t="s">
        <v>121</v>
      </c>
    </row>
    <row r="49" spans="1:8" ht="27.75" customHeight="1">
      <c r="A49" s="4">
        <f t="shared" si="1"/>
        <v>48</v>
      </c>
      <c r="B49" s="60"/>
      <c r="C49" s="80"/>
      <c r="D49" s="10" t="s">
        <v>122</v>
      </c>
      <c r="E49" s="11" t="s">
        <v>72</v>
      </c>
      <c r="F49" s="34" t="s">
        <v>120</v>
      </c>
      <c r="G49" s="11" t="s">
        <v>73</v>
      </c>
      <c r="H49" s="18" t="s">
        <v>123</v>
      </c>
    </row>
    <row r="50" spans="1:8" ht="27.75" customHeight="1">
      <c r="A50" s="4">
        <f t="shared" si="1"/>
        <v>49</v>
      </c>
      <c r="B50" s="60"/>
      <c r="C50" s="81" t="s">
        <v>124</v>
      </c>
      <c r="D50" s="10" t="s">
        <v>125</v>
      </c>
      <c r="E50" s="11" t="s">
        <v>72</v>
      </c>
      <c r="F50" s="34" t="s">
        <v>120</v>
      </c>
      <c r="G50" s="11" t="s">
        <v>73</v>
      </c>
      <c r="H50" s="18" t="s">
        <v>126</v>
      </c>
    </row>
    <row r="51" spans="1:8" ht="42" customHeight="1">
      <c r="A51" s="4">
        <f t="shared" si="1"/>
        <v>50</v>
      </c>
      <c r="B51" s="60"/>
      <c r="C51" s="60"/>
      <c r="D51" s="37" t="s">
        <v>127</v>
      </c>
      <c r="E51" s="11" t="s">
        <v>72</v>
      </c>
      <c r="F51" s="34" t="s">
        <v>120</v>
      </c>
      <c r="G51" s="11" t="s">
        <v>34</v>
      </c>
      <c r="H51" s="18" t="s">
        <v>128</v>
      </c>
    </row>
    <row r="52" spans="1:8" ht="27.75" customHeight="1">
      <c r="A52" s="4">
        <f t="shared" si="1"/>
        <v>51</v>
      </c>
      <c r="B52" s="60"/>
      <c r="C52" s="80"/>
      <c r="D52" s="6" t="s">
        <v>129</v>
      </c>
      <c r="E52" s="23" t="s">
        <v>50</v>
      </c>
      <c r="F52" s="22"/>
      <c r="G52" s="23"/>
      <c r="H52" s="38"/>
    </row>
    <row r="53" spans="1:8" ht="27.75" customHeight="1">
      <c r="A53" s="4">
        <f t="shared" si="1"/>
        <v>52</v>
      </c>
      <c r="B53" s="60"/>
      <c r="C53" s="33" t="s">
        <v>130</v>
      </c>
      <c r="D53" s="10" t="s">
        <v>131</v>
      </c>
      <c r="E53" s="11" t="s">
        <v>56</v>
      </c>
      <c r="F53" s="34" t="s">
        <v>132</v>
      </c>
      <c r="G53" s="11" t="s">
        <v>21</v>
      </c>
      <c r="H53" s="17" t="s">
        <v>133</v>
      </c>
    </row>
    <row r="54" spans="1:8" ht="33">
      <c r="A54" s="4">
        <f t="shared" si="1"/>
        <v>53</v>
      </c>
      <c r="B54" s="60"/>
      <c r="C54" s="54" t="s">
        <v>134</v>
      </c>
      <c r="D54" s="6" t="s">
        <v>135</v>
      </c>
      <c r="E54" s="7" t="s">
        <v>56</v>
      </c>
      <c r="F54" s="13"/>
      <c r="G54" s="7" t="s">
        <v>21</v>
      </c>
      <c r="H54" s="55" t="s">
        <v>282</v>
      </c>
    </row>
    <row r="55" spans="1:8" ht="27.75" customHeight="1">
      <c r="A55" s="4">
        <f t="shared" si="1"/>
        <v>54</v>
      </c>
      <c r="B55" s="60"/>
      <c r="C55" s="54"/>
      <c r="D55" s="6" t="s">
        <v>136</v>
      </c>
      <c r="E55" s="7" t="s">
        <v>56</v>
      </c>
      <c r="F55" s="13"/>
      <c r="G55" s="7" t="s">
        <v>21</v>
      </c>
      <c r="H55" s="54"/>
    </row>
    <row r="56" spans="1:8" ht="16.5">
      <c r="A56" s="4">
        <f t="shared" si="1"/>
        <v>55</v>
      </c>
      <c r="B56" s="56"/>
      <c r="C56" s="54"/>
      <c r="D56" s="10" t="s">
        <v>137</v>
      </c>
      <c r="E56" s="23" t="s">
        <v>50</v>
      </c>
      <c r="F56" s="22"/>
      <c r="G56" s="23"/>
      <c r="H56" s="29"/>
    </row>
    <row r="57" spans="1:8" ht="49.5">
      <c r="A57" s="4">
        <f t="shared" si="1"/>
        <v>56</v>
      </c>
      <c r="B57" s="56"/>
      <c r="C57" s="54"/>
      <c r="D57" s="10" t="s">
        <v>138</v>
      </c>
      <c r="E57" s="7" t="s">
        <v>24</v>
      </c>
      <c r="F57" s="13"/>
      <c r="G57" s="7" t="s">
        <v>10</v>
      </c>
      <c r="H57" s="18" t="s">
        <v>139</v>
      </c>
    </row>
    <row r="58" spans="1:8" ht="16.5">
      <c r="A58" s="4">
        <f t="shared" si="1"/>
        <v>57</v>
      </c>
      <c r="B58" s="56"/>
      <c r="C58" s="54" t="s">
        <v>140</v>
      </c>
      <c r="D58" s="10" t="s">
        <v>141</v>
      </c>
      <c r="E58" s="23" t="s">
        <v>50</v>
      </c>
      <c r="F58" s="22"/>
      <c r="G58" s="23"/>
      <c r="H58" s="29"/>
    </row>
    <row r="59" spans="1:8" ht="16.5">
      <c r="A59" s="4">
        <f t="shared" si="1"/>
        <v>58</v>
      </c>
      <c r="B59" s="56"/>
      <c r="C59" s="54"/>
      <c r="D59" s="10" t="s">
        <v>142</v>
      </c>
      <c r="E59" s="23" t="s">
        <v>50</v>
      </c>
      <c r="F59" s="22"/>
      <c r="G59" s="23"/>
      <c r="H59" s="29"/>
    </row>
    <row r="60" spans="1:8" ht="16.5">
      <c r="A60" s="4">
        <f t="shared" si="1"/>
        <v>59</v>
      </c>
      <c r="B60" s="56"/>
      <c r="C60" s="54"/>
      <c r="D60" s="10" t="s">
        <v>143</v>
      </c>
      <c r="E60" s="26" t="s">
        <v>50</v>
      </c>
      <c r="F60" s="27"/>
      <c r="G60" s="26"/>
      <c r="H60" s="29"/>
    </row>
    <row r="61" spans="1:8" ht="16.5">
      <c r="A61" s="4">
        <f t="shared" si="1"/>
        <v>60</v>
      </c>
      <c r="B61" s="56"/>
      <c r="C61" s="54"/>
      <c r="D61" s="10" t="s">
        <v>144</v>
      </c>
      <c r="E61" s="23" t="s">
        <v>50</v>
      </c>
      <c r="F61" s="22"/>
      <c r="G61" s="23"/>
      <c r="H61" s="29"/>
    </row>
    <row r="62" spans="1:8" ht="49.5">
      <c r="A62" s="4">
        <f t="shared" si="1"/>
        <v>61</v>
      </c>
      <c r="B62" s="59" t="s">
        <v>145</v>
      </c>
      <c r="C62" s="17" t="s">
        <v>146</v>
      </c>
      <c r="D62" s="6" t="s">
        <v>147</v>
      </c>
      <c r="E62" s="7" t="s">
        <v>18</v>
      </c>
      <c r="F62" s="13"/>
      <c r="G62" s="7" t="s">
        <v>21</v>
      </c>
      <c r="H62" s="18" t="s">
        <v>148</v>
      </c>
    </row>
    <row r="63" spans="1:8" ht="165">
      <c r="A63" s="4">
        <f t="shared" si="1"/>
        <v>62</v>
      </c>
      <c r="B63" s="60"/>
      <c r="C63" s="53" t="s">
        <v>149</v>
      </c>
      <c r="D63" s="12" t="s">
        <v>150</v>
      </c>
      <c r="E63" s="7" t="s">
        <v>151</v>
      </c>
      <c r="F63" s="13"/>
      <c r="G63" s="7" t="s">
        <v>34</v>
      </c>
      <c r="H63" s="36" t="s">
        <v>152</v>
      </c>
    </row>
    <row r="64" spans="1:8" ht="16.5">
      <c r="A64" s="4">
        <f t="shared" si="1"/>
        <v>63</v>
      </c>
      <c r="B64" s="60"/>
      <c r="C64" s="54"/>
      <c r="D64" s="6" t="s">
        <v>153</v>
      </c>
      <c r="E64" s="7" t="s">
        <v>154</v>
      </c>
      <c r="F64" s="13"/>
      <c r="G64" s="7" t="s">
        <v>10</v>
      </c>
      <c r="H64" s="18" t="s">
        <v>155</v>
      </c>
    </row>
    <row r="65" spans="1:8" ht="82.5">
      <c r="A65" s="4">
        <f t="shared" si="1"/>
        <v>64</v>
      </c>
      <c r="B65" s="56"/>
      <c r="C65" s="33" t="s">
        <v>156</v>
      </c>
      <c r="D65" s="10" t="s">
        <v>157</v>
      </c>
      <c r="E65" s="11" t="s">
        <v>158</v>
      </c>
      <c r="F65" s="34"/>
      <c r="G65" s="11" t="s">
        <v>16</v>
      </c>
      <c r="H65" s="18" t="s">
        <v>159</v>
      </c>
    </row>
    <row r="66" spans="1:8" ht="27.75" customHeight="1">
      <c r="A66" s="4">
        <f t="shared" ref="A66:A97" si="2">ROW()-1</f>
        <v>65</v>
      </c>
      <c r="B66" s="56"/>
      <c r="C66" s="54" t="s">
        <v>160</v>
      </c>
      <c r="D66" s="10" t="s">
        <v>161</v>
      </c>
      <c r="E66" s="11" t="s">
        <v>24</v>
      </c>
      <c r="F66" s="34"/>
      <c r="G66" s="11" t="s">
        <v>10</v>
      </c>
      <c r="H66" s="18" t="s">
        <v>162</v>
      </c>
    </row>
    <row r="67" spans="1:8" ht="16.5">
      <c r="A67" s="4">
        <f t="shared" si="2"/>
        <v>66</v>
      </c>
      <c r="B67" s="56"/>
      <c r="C67" s="54"/>
      <c r="D67" s="10" t="s">
        <v>163</v>
      </c>
      <c r="E67" s="11" t="s">
        <v>24</v>
      </c>
      <c r="F67" s="34"/>
      <c r="G67" s="11" t="s">
        <v>10</v>
      </c>
      <c r="H67" s="17" t="s">
        <v>164</v>
      </c>
    </row>
    <row r="68" spans="1:8" ht="99">
      <c r="A68" s="4">
        <f t="shared" si="2"/>
        <v>67</v>
      </c>
      <c r="B68" s="56"/>
      <c r="C68" s="33" t="s">
        <v>165</v>
      </c>
      <c r="D68" s="10" t="s">
        <v>166</v>
      </c>
      <c r="E68" s="11" t="s">
        <v>167</v>
      </c>
      <c r="F68" s="34"/>
      <c r="G68" s="11" t="s">
        <v>21</v>
      </c>
      <c r="H68" s="36" t="s">
        <v>168</v>
      </c>
    </row>
    <row r="69" spans="1:8" ht="49.5">
      <c r="A69" s="4">
        <f t="shared" si="2"/>
        <v>68</v>
      </c>
      <c r="B69" s="56" t="s">
        <v>169</v>
      </c>
      <c r="C69" s="54" t="s">
        <v>170</v>
      </c>
      <c r="D69" s="6" t="s">
        <v>171</v>
      </c>
      <c r="E69" s="39" t="s">
        <v>75</v>
      </c>
      <c r="F69" s="32" t="s">
        <v>170</v>
      </c>
      <c r="G69" s="39" t="s">
        <v>21</v>
      </c>
      <c r="H69" s="40" t="s">
        <v>172</v>
      </c>
    </row>
    <row r="70" spans="1:8" ht="66">
      <c r="A70" s="4">
        <f t="shared" si="2"/>
        <v>69</v>
      </c>
      <c r="B70" s="57"/>
      <c r="C70" s="57"/>
      <c r="D70" s="6" t="s">
        <v>173</v>
      </c>
      <c r="E70" s="39" t="s">
        <v>59</v>
      </c>
      <c r="F70" s="32" t="s">
        <v>170</v>
      </c>
      <c r="G70" s="39" t="s">
        <v>21</v>
      </c>
      <c r="H70" s="41" t="s">
        <v>174</v>
      </c>
    </row>
    <row r="71" spans="1:8" ht="16.5">
      <c r="A71" s="4">
        <f t="shared" si="2"/>
        <v>70</v>
      </c>
      <c r="B71" s="57"/>
      <c r="C71" s="57"/>
      <c r="D71" s="6" t="s">
        <v>175</v>
      </c>
      <c r="E71" s="23" t="s">
        <v>50</v>
      </c>
      <c r="F71" s="22"/>
      <c r="G71" s="23"/>
      <c r="H71" s="29"/>
    </row>
    <row r="72" spans="1:8" ht="16.5">
      <c r="A72" s="4">
        <f t="shared" si="2"/>
        <v>71</v>
      </c>
      <c r="B72" s="57"/>
      <c r="C72" s="57"/>
      <c r="D72" s="6" t="s">
        <v>176</v>
      </c>
      <c r="E72" s="23" t="s">
        <v>50</v>
      </c>
      <c r="F72" s="22"/>
      <c r="G72" s="23"/>
      <c r="H72" s="29"/>
    </row>
    <row r="73" spans="1:8" ht="99">
      <c r="A73" s="4">
        <f t="shared" si="2"/>
        <v>72</v>
      </c>
      <c r="B73" s="57"/>
      <c r="C73" s="57"/>
      <c r="D73" s="6" t="s">
        <v>177</v>
      </c>
      <c r="E73" s="39" t="s">
        <v>18</v>
      </c>
      <c r="F73" s="32" t="s">
        <v>170</v>
      </c>
      <c r="G73" s="39" t="s">
        <v>16</v>
      </c>
      <c r="H73" s="41" t="s">
        <v>178</v>
      </c>
    </row>
    <row r="74" spans="1:8" ht="66">
      <c r="A74" s="4">
        <f t="shared" si="2"/>
        <v>73</v>
      </c>
      <c r="B74" s="57"/>
      <c r="C74" s="12" t="s">
        <v>179</v>
      </c>
      <c r="D74" s="6" t="s">
        <v>180</v>
      </c>
      <c r="E74" s="7" t="s">
        <v>8</v>
      </c>
      <c r="F74" s="13" t="s">
        <v>181</v>
      </c>
      <c r="G74" s="7" t="s">
        <v>21</v>
      </c>
      <c r="H74" s="18" t="s">
        <v>182</v>
      </c>
    </row>
    <row r="75" spans="1:8" ht="16.5">
      <c r="A75" s="4">
        <f t="shared" si="2"/>
        <v>74</v>
      </c>
      <c r="B75" s="57"/>
      <c r="C75" s="54" t="s">
        <v>132</v>
      </c>
      <c r="D75" s="6" t="s">
        <v>183</v>
      </c>
      <c r="E75" s="7" t="s">
        <v>8</v>
      </c>
      <c r="F75" s="13" t="s">
        <v>132</v>
      </c>
      <c r="G75" s="7" t="s">
        <v>21</v>
      </c>
      <c r="H75" s="55" t="s">
        <v>263</v>
      </c>
    </row>
    <row r="76" spans="1:8" ht="16.5">
      <c r="A76" s="4">
        <f t="shared" si="2"/>
        <v>75</v>
      </c>
      <c r="B76" s="57"/>
      <c r="C76" s="57"/>
      <c r="D76" s="6" t="s">
        <v>184</v>
      </c>
      <c r="E76" s="7" t="s">
        <v>8</v>
      </c>
      <c r="F76" s="13" t="s">
        <v>132</v>
      </c>
      <c r="G76" s="7" t="s">
        <v>21</v>
      </c>
      <c r="H76" s="54"/>
    </row>
    <row r="77" spans="1:8" ht="35.25" customHeight="1">
      <c r="A77" s="4">
        <f t="shared" si="2"/>
        <v>76</v>
      </c>
      <c r="B77" s="57"/>
      <c r="C77" s="57"/>
      <c r="D77" s="6" t="s">
        <v>185</v>
      </c>
      <c r="E77" s="7" t="s">
        <v>8</v>
      </c>
      <c r="F77" s="13" t="s">
        <v>132</v>
      </c>
      <c r="G77" s="7" t="s">
        <v>21</v>
      </c>
      <c r="H77" s="54"/>
    </row>
    <row r="78" spans="1:8" ht="16.5">
      <c r="A78" s="4">
        <f t="shared" si="2"/>
        <v>77</v>
      </c>
      <c r="B78" s="57"/>
      <c r="C78" s="54" t="s">
        <v>186</v>
      </c>
      <c r="D78" s="6" t="s">
        <v>187</v>
      </c>
      <c r="E78" s="23" t="s">
        <v>50</v>
      </c>
      <c r="F78" s="22"/>
      <c r="G78" s="23"/>
      <c r="H78" s="29"/>
    </row>
    <row r="79" spans="1:8" ht="33">
      <c r="A79" s="4">
        <f t="shared" si="2"/>
        <v>78</v>
      </c>
      <c r="B79" s="57"/>
      <c r="C79" s="57"/>
      <c r="D79" s="6" t="s">
        <v>188</v>
      </c>
      <c r="E79" s="7" t="s">
        <v>24</v>
      </c>
      <c r="F79" s="13"/>
      <c r="G79" s="7" t="s">
        <v>10</v>
      </c>
      <c r="H79" s="17" t="s">
        <v>189</v>
      </c>
    </row>
    <row r="80" spans="1:8" ht="16.5">
      <c r="A80" s="4">
        <f t="shared" si="2"/>
        <v>79</v>
      </c>
      <c r="B80" s="56" t="s">
        <v>190</v>
      </c>
      <c r="C80" s="53" t="s">
        <v>191</v>
      </c>
      <c r="D80" s="12" t="s">
        <v>192</v>
      </c>
      <c r="E80" s="7" t="s">
        <v>18</v>
      </c>
      <c r="F80" s="13"/>
      <c r="G80" s="7" t="s">
        <v>21</v>
      </c>
      <c r="H80" s="61" t="s">
        <v>193</v>
      </c>
    </row>
    <row r="81" spans="1:8" ht="16.5">
      <c r="A81" s="4">
        <f t="shared" si="2"/>
        <v>80</v>
      </c>
      <c r="B81" s="57"/>
      <c r="C81" s="54"/>
      <c r="D81" s="12" t="s">
        <v>194</v>
      </c>
      <c r="E81" s="7" t="s">
        <v>18</v>
      </c>
      <c r="F81" s="13"/>
      <c r="G81" s="7" t="s">
        <v>21</v>
      </c>
      <c r="H81" s="54"/>
    </row>
    <row r="82" spans="1:8" ht="16.5">
      <c r="A82" s="4">
        <f t="shared" si="2"/>
        <v>81</v>
      </c>
      <c r="B82" s="57"/>
      <c r="C82" s="54"/>
      <c r="D82" s="12" t="s">
        <v>195</v>
      </c>
      <c r="E82" s="7" t="s">
        <v>18</v>
      </c>
      <c r="F82" s="13"/>
      <c r="G82" s="7" t="s">
        <v>21</v>
      </c>
      <c r="H82" s="54"/>
    </row>
    <row r="83" spans="1:8" ht="42" customHeight="1">
      <c r="A83" s="4">
        <f t="shared" si="2"/>
        <v>82</v>
      </c>
      <c r="B83" s="57"/>
      <c r="C83" s="54"/>
      <c r="D83" s="12" t="s">
        <v>196</v>
      </c>
      <c r="E83" s="7" t="s">
        <v>18</v>
      </c>
      <c r="F83" s="13"/>
      <c r="G83" s="7" t="s">
        <v>21</v>
      </c>
      <c r="H83" s="54"/>
    </row>
    <row r="84" spans="1:8" ht="33">
      <c r="A84" s="4">
        <f t="shared" si="2"/>
        <v>83</v>
      </c>
      <c r="B84" s="57"/>
      <c r="C84" s="17" t="s">
        <v>197</v>
      </c>
      <c r="D84" s="6" t="s">
        <v>198</v>
      </c>
      <c r="E84" s="7" t="s">
        <v>75</v>
      </c>
      <c r="F84" s="13"/>
      <c r="G84" s="7" t="s">
        <v>21</v>
      </c>
      <c r="H84" s="18" t="s">
        <v>199</v>
      </c>
    </row>
    <row r="85" spans="1:8" ht="27.75" customHeight="1">
      <c r="A85" s="4">
        <f t="shared" si="2"/>
        <v>84</v>
      </c>
      <c r="B85" s="58"/>
      <c r="C85" s="53" t="s">
        <v>24</v>
      </c>
      <c r="D85" s="10" t="s">
        <v>200</v>
      </c>
      <c r="E85" s="11" t="s">
        <v>75</v>
      </c>
      <c r="F85" s="34"/>
      <c r="G85" s="11" t="s">
        <v>21</v>
      </c>
      <c r="H85" s="18" t="s">
        <v>264</v>
      </c>
    </row>
    <row r="86" spans="1:8" ht="42" customHeight="1">
      <c r="A86" s="4">
        <f t="shared" si="2"/>
        <v>85</v>
      </c>
      <c r="B86" s="58"/>
      <c r="C86" s="54"/>
      <c r="D86" s="10" t="s">
        <v>201</v>
      </c>
      <c r="E86" s="11" t="s">
        <v>75</v>
      </c>
      <c r="F86" s="34"/>
      <c r="G86" s="11" t="s">
        <v>21</v>
      </c>
      <c r="H86" s="18" t="s">
        <v>202</v>
      </c>
    </row>
    <row r="87" spans="1:8" ht="16.5">
      <c r="A87" s="4">
        <f t="shared" si="2"/>
        <v>86</v>
      </c>
      <c r="B87" s="58"/>
      <c r="C87" s="54"/>
      <c r="D87" s="33" t="s">
        <v>203</v>
      </c>
      <c r="E87" s="11" t="s">
        <v>204</v>
      </c>
      <c r="F87" s="34"/>
      <c r="G87" s="11" t="s">
        <v>16</v>
      </c>
      <c r="H87" s="54" t="s">
        <v>205</v>
      </c>
    </row>
    <row r="88" spans="1:8" ht="16.5">
      <c r="A88" s="4">
        <f t="shared" si="2"/>
        <v>87</v>
      </c>
      <c r="B88" s="58"/>
      <c r="C88" s="54"/>
      <c r="D88" s="33" t="s">
        <v>206</v>
      </c>
      <c r="E88" s="11" t="s">
        <v>204</v>
      </c>
      <c r="F88" s="34"/>
      <c r="G88" s="11" t="s">
        <v>16</v>
      </c>
      <c r="H88" s="54"/>
    </row>
    <row r="89" spans="1:8" ht="16.5">
      <c r="A89" s="4">
        <f t="shared" si="2"/>
        <v>88</v>
      </c>
      <c r="B89" s="58"/>
      <c r="C89" s="54"/>
      <c r="D89" s="33" t="s">
        <v>207</v>
      </c>
      <c r="E89" s="11" t="s">
        <v>24</v>
      </c>
      <c r="F89" s="34"/>
      <c r="G89" s="11" t="s">
        <v>16</v>
      </c>
      <c r="H89" s="54"/>
    </row>
    <row r="90" spans="1:8" ht="66">
      <c r="A90" s="4">
        <f t="shared" si="2"/>
        <v>89</v>
      </c>
      <c r="B90" s="57"/>
      <c r="C90" s="17" t="s">
        <v>208</v>
      </c>
      <c r="D90" s="12" t="s">
        <v>209</v>
      </c>
      <c r="E90" s="7" t="s">
        <v>75</v>
      </c>
      <c r="F90" s="13"/>
      <c r="G90" s="7" t="s">
        <v>62</v>
      </c>
      <c r="H90" s="18" t="s">
        <v>265</v>
      </c>
    </row>
    <row r="91" spans="1:8" ht="84" customHeight="1">
      <c r="A91" s="4">
        <f t="shared" si="2"/>
        <v>90</v>
      </c>
      <c r="B91" s="56" t="s">
        <v>210</v>
      </c>
      <c r="C91" s="55" t="s">
        <v>211</v>
      </c>
      <c r="D91" s="6" t="s">
        <v>212</v>
      </c>
      <c r="E91" s="7" t="s">
        <v>8</v>
      </c>
      <c r="F91" s="13"/>
      <c r="G91" s="7" t="s">
        <v>16</v>
      </c>
      <c r="H91" s="55" t="s">
        <v>213</v>
      </c>
    </row>
    <row r="92" spans="1:8" ht="27.75" customHeight="1">
      <c r="A92" s="4">
        <f t="shared" si="2"/>
        <v>91</v>
      </c>
      <c r="B92" s="56"/>
      <c r="C92" s="54"/>
      <c r="D92" s="10" t="s">
        <v>214</v>
      </c>
      <c r="E92" s="11" t="s">
        <v>8</v>
      </c>
      <c r="F92" s="34"/>
      <c r="G92" s="11" t="s">
        <v>16</v>
      </c>
      <c r="H92" s="54"/>
    </row>
    <row r="93" spans="1:8" ht="56.25" customHeight="1">
      <c r="A93" s="4">
        <f t="shared" si="2"/>
        <v>92</v>
      </c>
      <c r="B93" s="57"/>
      <c r="C93" s="53" t="s">
        <v>215</v>
      </c>
      <c r="D93" s="12" t="s">
        <v>216</v>
      </c>
      <c r="E93" s="7" t="s">
        <v>8</v>
      </c>
      <c r="F93" s="13"/>
      <c r="G93" s="7" t="s">
        <v>16</v>
      </c>
      <c r="H93" s="55" t="s">
        <v>217</v>
      </c>
    </row>
    <row r="94" spans="1:8" ht="80.25" customHeight="1">
      <c r="A94" s="4">
        <f t="shared" si="2"/>
        <v>93</v>
      </c>
      <c r="B94" s="58"/>
      <c r="C94" s="54"/>
      <c r="D94" s="10" t="s">
        <v>218</v>
      </c>
      <c r="E94" s="11" t="s">
        <v>8</v>
      </c>
      <c r="F94" s="34"/>
      <c r="G94" s="11" t="s">
        <v>16</v>
      </c>
      <c r="H94" s="54"/>
    </row>
    <row r="95" spans="1:8" ht="27.75" customHeight="1">
      <c r="A95" s="4">
        <f t="shared" si="2"/>
        <v>94</v>
      </c>
      <c r="B95" s="57"/>
      <c r="C95" s="53" t="s">
        <v>219</v>
      </c>
      <c r="D95" s="6" t="s">
        <v>220</v>
      </c>
      <c r="E95" s="7" t="s">
        <v>18</v>
      </c>
      <c r="F95" s="13"/>
      <c r="G95" s="7" t="s">
        <v>21</v>
      </c>
      <c r="H95" s="18" t="s">
        <v>221</v>
      </c>
    </row>
    <row r="96" spans="1:8" ht="33">
      <c r="A96" s="4">
        <f t="shared" si="2"/>
        <v>95</v>
      </c>
      <c r="B96" s="57"/>
      <c r="C96" s="54"/>
      <c r="D96" s="12" t="s">
        <v>222</v>
      </c>
      <c r="E96" s="7" t="s">
        <v>18</v>
      </c>
      <c r="F96" s="13"/>
      <c r="G96" s="7" t="s">
        <v>21</v>
      </c>
      <c r="H96" s="18" t="s">
        <v>223</v>
      </c>
    </row>
    <row r="97" spans="1:28" ht="42" customHeight="1">
      <c r="A97" s="4">
        <f t="shared" si="2"/>
        <v>96</v>
      </c>
      <c r="B97" s="58"/>
      <c r="C97" s="54"/>
      <c r="D97" s="10" t="s">
        <v>224</v>
      </c>
      <c r="E97" s="11" t="s">
        <v>56</v>
      </c>
      <c r="F97" s="34"/>
      <c r="G97" s="11" t="s">
        <v>16</v>
      </c>
      <c r="H97" s="18" t="s">
        <v>225</v>
      </c>
    </row>
    <row r="98" spans="1:28" ht="27.75" customHeight="1">
      <c r="A98" s="4">
        <f t="shared" ref="A98:A116" si="3">ROW()-1</f>
        <v>97</v>
      </c>
      <c r="B98" s="57"/>
      <c r="C98" s="54"/>
      <c r="D98" s="6" t="s">
        <v>226</v>
      </c>
      <c r="E98" s="7" t="s">
        <v>8</v>
      </c>
      <c r="F98" s="13"/>
      <c r="G98" s="7" t="s">
        <v>21</v>
      </c>
      <c r="H98" s="18" t="s">
        <v>227</v>
      </c>
    </row>
    <row r="99" spans="1:28" ht="42" customHeight="1">
      <c r="A99" s="4">
        <f t="shared" si="3"/>
        <v>98</v>
      </c>
      <c r="B99" s="56" t="s">
        <v>228</v>
      </c>
      <c r="C99" s="55" t="s">
        <v>229</v>
      </c>
      <c r="D99" s="6" t="s">
        <v>230</v>
      </c>
      <c r="E99" s="7" t="s">
        <v>24</v>
      </c>
      <c r="F99" s="13"/>
      <c r="G99" s="7" t="s">
        <v>10</v>
      </c>
      <c r="H99" s="55" t="s">
        <v>231</v>
      </c>
    </row>
    <row r="100" spans="1:28" ht="27.75" customHeight="1">
      <c r="A100" s="4">
        <f t="shared" si="3"/>
        <v>99</v>
      </c>
      <c r="B100" s="56"/>
      <c r="C100" s="54"/>
      <c r="D100" s="10" t="s">
        <v>232</v>
      </c>
      <c r="E100" s="11" t="s">
        <v>24</v>
      </c>
      <c r="F100" s="34"/>
      <c r="G100" s="11" t="s">
        <v>10</v>
      </c>
      <c r="H100" s="54"/>
    </row>
    <row r="101" spans="1:28" ht="42" customHeight="1">
      <c r="A101" s="4">
        <f t="shared" si="3"/>
        <v>100</v>
      </c>
      <c r="B101" s="56"/>
      <c r="C101" s="54"/>
      <c r="D101" s="10" t="s">
        <v>233</v>
      </c>
      <c r="E101" s="11" t="s">
        <v>24</v>
      </c>
      <c r="F101" s="34"/>
      <c r="G101" s="11" t="s">
        <v>10</v>
      </c>
      <c r="H101" s="54"/>
    </row>
    <row r="102" spans="1:28" ht="42" customHeight="1">
      <c r="A102" s="4">
        <f t="shared" si="3"/>
        <v>101</v>
      </c>
      <c r="B102" s="56"/>
      <c r="C102" s="17" t="s">
        <v>234</v>
      </c>
      <c r="D102" s="10" t="s">
        <v>235</v>
      </c>
      <c r="E102" s="11" t="s">
        <v>24</v>
      </c>
      <c r="F102" s="34"/>
      <c r="G102" s="11" t="s">
        <v>10</v>
      </c>
      <c r="H102" s="18" t="s">
        <v>236</v>
      </c>
    </row>
    <row r="103" spans="1:28" ht="42" customHeight="1">
      <c r="A103" s="4">
        <f t="shared" si="3"/>
        <v>102</v>
      </c>
      <c r="B103" s="56"/>
      <c r="C103" s="53" t="s">
        <v>237</v>
      </c>
      <c r="D103" s="10" t="s">
        <v>238</v>
      </c>
      <c r="E103" s="11" t="s">
        <v>24</v>
      </c>
      <c r="F103" s="34"/>
      <c r="G103" s="11" t="s">
        <v>10</v>
      </c>
      <c r="H103" s="18" t="s">
        <v>239</v>
      </c>
    </row>
    <row r="104" spans="1:28" ht="115.5">
      <c r="A104" s="4">
        <f t="shared" si="3"/>
        <v>103</v>
      </c>
      <c r="B104" s="57"/>
      <c r="C104" s="54"/>
      <c r="D104" s="6" t="s">
        <v>240</v>
      </c>
      <c r="E104" s="7" t="s">
        <v>24</v>
      </c>
      <c r="F104" s="13"/>
      <c r="G104" s="7" t="s">
        <v>10</v>
      </c>
      <c r="H104" s="18" t="s">
        <v>241</v>
      </c>
    </row>
    <row r="105" spans="1:28" ht="42" customHeight="1">
      <c r="A105" s="4">
        <f t="shared" si="3"/>
        <v>104</v>
      </c>
      <c r="B105" s="57"/>
      <c r="C105" s="54"/>
      <c r="D105" s="6" t="s">
        <v>242</v>
      </c>
      <c r="E105" s="7" t="s">
        <v>24</v>
      </c>
      <c r="F105" s="13"/>
      <c r="G105" s="7" t="s">
        <v>10</v>
      </c>
      <c r="H105" s="18" t="s">
        <v>261</v>
      </c>
    </row>
    <row r="106" spans="1:28" s="52" customFormat="1" ht="27.75" customHeight="1">
      <c r="A106" s="47">
        <f t="shared" si="3"/>
        <v>105</v>
      </c>
      <c r="B106" s="62" t="s">
        <v>104</v>
      </c>
      <c r="C106" s="78" t="s">
        <v>243</v>
      </c>
      <c r="D106" s="48" t="s">
        <v>244</v>
      </c>
      <c r="E106" s="49" t="s">
        <v>24</v>
      </c>
      <c r="F106" s="50"/>
      <c r="G106" s="49"/>
      <c r="H106" s="51"/>
      <c r="I106" s="51"/>
      <c r="J106" s="51"/>
      <c r="K106" s="51"/>
      <c r="L106" s="51"/>
      <c r="M106" s="51"/>
      <c r="N106" s="51"/>
      <c r="O106" s="51"/>
      <c r="P106" s="51"/>
      <c r="Q106" s="51"/>
      <c r="R106" s="51"/>
      <c r="S106" s="51"/>
      <c r="T106" s="51"/>
      <c r="U106" s="51"/>
      <c r="V106" s="51"/>
      <c r="W106" s="51"/>
      <c r="X106" s="51"/>
      <c r="Y106" s="51"/>
      <c r="Z106" s="51"/>
      <c r="AA106" s="51"/>
      <c r="AB106" s="51"/>
    </row>
    <row r="107" spans="1:28" s="52" customFormat="1" ht="16.5">
      <c r="A107" s="47">
        <f t="shared" si="3"/>
        <v>106</v>
      </c>
      <c r="B107" s="63"/>
      <c r="C107" s="78"/>
      <c r="D107" s="48" t="s">
        <v>245</v>
      </c>
      <c r="E107" s="49" t="s">
        <v>24</v>
      </c>
      <c r="F107" s="50"/>
      <c r="G107" s="49"/>
      <c r="H107" s="51"/>
      <c r="I107" s="51"/>
      <c r="J107" s="51"/>
      <c r="K107" s="51"/>
      <c r="L107" s="51"/>
      <c r="M107" s="51"/>
      <c r="N107" s="51"/>
      <c r="O107" s="51"/>
      <c r="P107" s="51"/>
      <c r="Q107" s="51"/>
      <c r="R107" s="51"/>
      <c r="S107" s="51"/>
      <c r="T107" s="51"/>
      <c r="U107" s="51"/>
      <c r="V107" s="51"/>
      <c r="W107" s="51"/>
      <c r="X107" s="51"/>
      <c r="Y107" s="51"/>
      <c r="Z107" s="51"/>
      <c r="AA107" s="51"/>
      <c r="AB107" s="51"/>
    </row>
    <row r="108" spans="1:28" s="52" customFormat="1" ht="16.5">
      <c r="A108" s="47">
        <f t="shared" si="3"/>
        <v>107</v>
      </c>
      <c r="B108" s="63"/>
      <c r="C108" s="78" t="s">
        <v>246</v>
      </c>
      <c r="D108" s="48" t="s">
        <v>247</v>
      </c>
      <c r="E108" s="49" t="s">
        <v>24</v>
      </c>
      <c r="F108" s="50"/>
      <c r="G108" s="49"/>
      <c r="H108" s="51"/>
      <c r="I108" s="51"/>
      <c r="J108" s="51"/>
      <c r="K108" s="51"/>
      <c r="L108" s="51"/>
      <c r="M108" s="51"/>
      <c r="N108" s="51"/>
      <c r="O108" s="51"/>
      <c r="P108" s="51"/>
      <c r="Q108" s="51"/>
      <c r="R108" s="51"/>
      <c r="S108" s="51"/>
      <c r="T108" s="51"/>
      <c r="U108" s="51"/>
      <c r="V108" s="51"/>
      <c r="W108" s="51"/>
      <c r="X108" s="51"/>
      <c r="Y108" s="51"/>
      <c r="Z108" s="51"/>
      <c r="AA108" s="51"/>
      <c r="AB108" s="51"/>
    </row>
    <row r="109" spans="1:28" s="52" customFormat="1" ht="16.5">
      <c r="A109" s="47">
        <f t="shared" si="3"/>
        <v>108</v>
      </c>
      <c r="B109" s="63"/>
      <c r="C109" s="78"/>
      <c r="D109" s="48" t="s">
        <v>248</v>
      </c>
      <c r="E109" s="49" t="s">
        <v>24</v>
      </c>
      <c r="F109" s="50"/>
      <c r="G109" s="49"/>
      <c r="H109" s="51"/>
      <c r="I109" s="51"/>
      <c r="J109" s="51"/>
      <c r="K109" s="51"/>
      <c r="L109" s="51"/>
      <c r="M109" s="51"/>
      <c r="N109" s="51"/>
      <c r="O109" s="51"/>
      <c r="P109" s="51"/>
      <c r="Q109" s="51"/>
      <c r="R109" s="51"/>
      <c r="S109" s="51"/>
      <c r="T109" s="51"/>
      <c r="U109" s="51"/>
      <c r="V109" s="51"/>
      <c r="W109" s="51"/>
      <c r="X109" s="51"/>
      <c r="Y109" s="51"/>
      <c r="Z109" s="51"/>
      <c r="AA109" s="51"/>
      <c r="AB109" s="51"/>
    </row>
    <row r="110" spans="1:28" s="52" customFormat="1" ht="16.5">
      <c r="A110" s="47">
        <f t="shared" si="3"/>
        <v>109</v>
      </c>
      <c r="B110" s="63"/>
      <c r="C110" s="78"/>
      <c r="D110" s="48" t="s">
        <v>249</v>
      </c>
      <c r="E110" s="49" t="s">
        <v>24</v>
      </c>
      <c r="F110" s="50"/>
      <c r="G110" s="49"/>
      <c r="H110" s="51"/>
      <c r="I110" s="51"/>
      <c r="J110" s="51"/>
      <c r="K110" s="51"/>
      <c r="L110" s="51"/>
      <c r="M110" s="51"/>
      <c r="N110" s="51"/>
      <c r="O110" s="51"/>
      <c r="P110" s="51"/>
      <c r="Q110" s="51"/>
      <c r="R110" s="51"/>
      <c r="S110" s="51"/>
      <c r="T110" s="51"/>
      <c r="U110" s="51"/>
      <c r="V110" s="51"/>
      <c r="W110" s="51"/>
      <c r="X110" s="51"/>
      <c r="Y110" s="51"/>
      <c r="Z110" s="51"/>
      <c r="AA110" s="51"/>
      <c r="AB110" s="51"/>
    </row>
    <row r="111" spans="1:28" s="52" customFormat="1" ht="33">
      <c r="A111" s="47">
        <f t="shared" si="3"/>
        <v>110</v>
      </c>
      <c r="B111" s="63"/>
      <c r="C111" s="78" t="s">
        <v>250</v>
      </c>
      <c r="D111" s="48" t="s">
        <v>251</v>
      </c>
      <c r="E111" s="49" t="s">
        <v>24</v>
      </c>
      <c r="F111" s="50"/>
      <c r="G111" s="49"/>
      <c r="H111" s="51"/>
      <c r="I111" s="51"/>
      <c r="J111" s="51"/>
      <c r="K111" s="51"/>
      <c r="L111" s="51"/>
      <c r="M111" s="51"/>
      <c r="N111" s="51"/>
      <c r="O111" s="51"/>
      <c r="P111" s="51"/>
      <c r="Q111" s="51"/>
      <c r="R111" s="51"/>
      <c r="S111" s="51"/>
      <c r="T111" s="51"/>
      <c r="U111" s="51"/>
      <c r="V111" s="51"/>
      <c r="W111" s="51"/>
      <c r="X111" s="51"/>
      <c r="Y111" s="51"/>
      <c r="Z111" s="51"/>
      <c r="AA111" s="51"/>
      <c r="AB111" s="51"/>
    </row>
    <row r="112" spans="1:28" s="52" customFormat="1" ht="16.5">
      <c r="A112" s="47">
        <f t="shared" si="3"/>
        <v>111</v>
      </c>
      <c r="B112" s="63"/>
      <c r="C112" s="78"/>
      <c r="D112" s="48" t="s">
        <v>252</v>
      </c>
      <c r="E112" s="49" t="s">
        <v>24</v>
      </c>
      <c r="F112" s="50"/>
      <c r="G112" s="49"/>
      <c r="H112" s="51"/>
      <c r="I112" s="51"/>
      <c r="J112" s="51"/>
      <c r="K112" s="51"/>
      <c r="L112" s="51"/>
      <c r="M112" s="51"/>
      <c r="N112" s="51"/>
      <c r="O112" s="51"/>
      <c r="P112" s="51"/>
      <c r="Q112" s="51"/>
      <c r="R112" s="51"/>
      <c r="S112" s="51"/>
      <c r="T112" s="51"/>
      <c r="U112" s="51"/>
      <c r="V112" s="51"/>
      <c r="W112" s="51"/>
      <c r="X112" s="51"/>
      <c r="Y112" s="51"/>
      <c r="Z112" s="51"/>
      <c r="AA112" s="51"/>
      <c r="AB112" s="51"/>
    </row>
    <row r="113" spans="1:28" s="52" customFormat="1" ht="16.5">
      <c r="A113" s="47">
        <f t="shared" si="3"/>
        <v>112</v>
      </c>
      <c r="B113" s="63"/>
      <c r="C113" s="78" t="s">
        <v>253</v>
      </c>
      <c r="D113" s="48" t="s">
        <v>254</v>
      </c>
      <c r="E113" s="49" t="s">
        <v>24</v>
      </c>
      <c r="F113" s="50"/>
      <c r="G113" s="49"/>
      <c r="H113" s="51"/>
      <c r="I113" s="51"/>
      <c r="J113" s="51"/>
      <c r="K113" s="51"/>
      <c r="L113" s="51"/>
      <c r="M113" s="51"/>
      <c r="N113" s="51"/>
      <c r="O113" s="51"/>
      <c r="P113" s="51"/>
      <c r="Q113" s="51"/>
      <c r="R113" s="51"/>
      <c r="S113" s="51"/>
      <c r="T113" s="51"/>
      <c r="U113" s="51"/>
      <c r="V113" s="51"/>
      <c r="W113" s="51"/>
      <c r="X113" s="51"/>
      <c r="Y113" s="51"/>
      <c r="Z113" s="51"/>
      <c r="AA113" s="51"/>
      <c r="AB113" s="51"/>
    </row>
    <row r="114" spans="1:28" s="52" customFormat="1" ht="16.5">
      <c r="A114" s="47">
        <f t="shared" si="3"/>
        <v>113</v>
      </c>
      <c r="B114" s="63"/>
      <c r="C114" s="78"/>
      <c r="D114" s="48" t="s">
        <v>255</v>
      </c>
      <c r="E114" s="49" t="s">
        <v>24</v>
      </c>
      <c r="F114" s="50"/>
      <c r="G114" s="49"/>
      <c r="H114" s="51"/>
      <c r="I114" s="51"/>
      <c r="J114" s="51"/>
      <c r="K114" s="51"/>
      <c r="L114" s="51"/>
      <c r="M114" s="51"/>
      <c r="N114" s="51"/>
      <c r="O114" s="51"/>
      <c r="P114" s="51"/>
      <c r="Q114" s="51"/>
      <c r="R114" s="51"/>
      <c r="S114" s="51"/>
      <c r="T114" s="51"/>
      <c r="U114" s="51"/>
      <c r="V114" s="51"/>
      <c r="W114" s="51"/>
      <c r="X114" s="51"/>
      <c r="Y114" s="51"/>
      <c r="Z114" s="51"/>
      <c r="AA114" s="51"/>
      <c r="AB114" s="51"/>
    </row>
    <row r="115" spans="1:28" s="52" customFormat="1" ht="16.5">
      <c r="A115" s="47">
        <f t="shared" si="3"/>
        <v>114</v>
      </c>
      <c r="B115" s="63"/>
      <c r="C115" s="78" t="s">
        <v>256</v>
      </c>
      <c r="D115" s="48" t="s">
        <v>257</v>
      </c>
      <c r="E115" s="49" t="s">
        <v>24</v>
      </c>
      <c r="F115" s="50"/>
      <c r="G115" s="49"/>
      <c r="H115" s="51"/>
      <c r="I115" s="51"/>
      <c r="J115" s="51"/>
      <c r="K115" s="51"/>
      <c r="L115" s="51"/>
      <c r="M115" s="51"/>
      <c r="N115" s="51"/>
      <c r="O115" s="51"/>
      <c r="P115" s="51"/>
      <c r="Q115" s="51"/>
      <c r="R115" s="51"/>
      <c r="S115" s="51"/>
      <c r="T115" s="51"/>
      <c r="U115" s="51"/>
      <c r="V115" s="51"/>
      <c r="W115" s="51"/>
      <c r="X115" s="51"/>
      <c r="Y115" s="51"/>
      <c r="Z115" s="51"/>
      <c r="AA115" s="51"/>
      <c r="AB115" s="51"/>
    </row>
    <row r="116" spans="1:28" s="52" customFormat="1" ht="16.5">
      <c r="A116" s="47">
        <f t="shared" si="3"/>
        <v>115</v>
      </c>
      <c r="B116" s="64"/>
      <c r="C116" s="78"/>
      <c r="D116" s="48" t="s">
        <v>258</v>
      </c>
      <c r="E116" s="49" t="s">
        <v>24</v>
      </c>
      <c r="F116" s="50"/>
      <c r="G116" s="49"/>
      <c r="H116" s="51"/>
      <c r="I116" s="51"/>
      <c r="J116" s="51"/>
      <c r="K116" s="51"/>
      <c r="L116" s="51"/>
      <c r="M116" s="51"/>
      <c r="N116" s="51"/>
      <c r="O116" s="51"/>
      <c r="P116" s="51"/>
      <c r="Q116" s="51"/>
      <c r="R116" s="51"/>
      <c r="S116" s="51"/>
      <c r="T116" s="51"/>
      <c r="U116" s="51"/>
      <c r="V116" s="51"/>
      <c r="W116" s="51"/>
      <c r="X116" s="51"/>
      <c r="Y116" s="51"/>
      <c r="Z116" s="51"/>
      <c r="AA116" s="51"/>
      <c r="AB116" s="51"/>
    </row>
    <row r="117" spans="1:28" ht="16.5">
      <c r="E117" s="7"/>
      <c r="F117" s="13"/>
      <c r="G117" s="7"/>
    </row>
    <row r="118" spans="1:28" ht="16.5">
      <c r="E118" s="7"/>
      <c r="F118" s="13"/>
      <c r="G118" s="7"/>
    </row>
    <row r="119" spans="1:28" ht="16.5">
      <c r="E119" s="7"/>
      <c r="F119" s="13"/>
      <c r="G119" s="7"/>
    </row>
    <row r="120" spans="1:28" ht="16.5">
      <c r="E120" s="7"/>
      <c r="F120" s="13"/>
      <c r="G120" s="7"/>
    </row>
    <row r="121" spans="1:28" ht="16.5">
      <c r="E121" s="7"/>
      <c r="F121" s="13"/>
      <c r="G121" s="7"/>
    </row>
    <row r="122" spans="1:28" ht="16.5">
      <c r="E122" s="7"/>
      <c r="F122" s="13"/>
      <c r="G122" s="7"/>
    </row>
    <row r="123" spans="1:28" ht="16.5">
      <c r="E123" s="7"/>
      <c r="F123" s="13"/>
      <c r="G123" s="7"/>
    </row>
    <row r="124" spans="1:28" ht="16.5">
      <c r="E124" s="7"/>
      <c r="F124" s="13"/>
      <c r="G124" s="7"/>
    </row>
    <row r="125" spans="1:28" ht="16.5">
      <c r="E125" s="7"/>
      <c r="F125" s="13"/>
      <c r="G125" s="7"/>
    </row>
    <row r="126" spans="1:28" ht="16.5">
      <c r="E126" s="7"/>
      <c r="F126" s="13"/>
      <c r="G126" s="7"/>
    </row>
    <row r="127" spans="1:28" ht="16.5">
      <c r="E127" s="7"/>
      <c r="F127" s="13"/>
      <c r="G127" s="7"/>
    </row>
    <row r="128" spans="1:28" ht="16.5">
      <c r="E128" s="7"/>
      <c r="F128" s="13"/>
      <c r="G128" s="7"/>
    </row>
    <row r="129" spans="5:7" ht="16.5">
      <c r="E129" s="7"/>
      <c r="F129" s="13"/>
      <c r="G129" s="7"/>
    </row>
    <row r="130" spans="5:7" ht="16.5">
      <c r="E130" s="7"/>
      <c r="F130" s="13"/>
      <c r="G130" s="7"/>
    </row>
    <row r="131" spans="5:7" ht="16.5">
      <c r="E131" s="7"/>
      <c r="F131" s="13"/>
      <c r="G131" s="7"/>
    </row>
    <row r="132" spans="5:7" ht="16.5">
      <c r="E132" s="7"/>
      <c r="F132" s="13"/>
      <c r="G132" s="7"/>
    </row>
    <row r="133" spans="5:7" ht="16.5">
      <c r="E133" s="7"/>
      <c r="F133" s="13"/>
      <c r="G133" s="7"/>
    </row>
    <row r="134" spans="5:7" ht="16.5">
      <c r="E134" s="7"/>
      <c r="F134" s="13"/>
      <c r="G134" s="7"/>
    </row>
    <row r="135" spans="5:7" ht="16.5">
      <c r="E135" s="7"/>
      <c r="F135" s="13"/>
      <c r="G135" s="7"/>
    </row>
    <row r="136" spans="5:7" ht="16.5">
      <c r="E136" s="7"/>
      <c r="F136" s="13"/>
      <c r="G136" s="7"/>
    </row>
    <row r="137" spans="5:7" ht="16.5">
      <c r="E137" s="7"/>
      <c r="F137" s="13"/>
      <c r="G137" s="7"/>
    </row>
    <row r="138" spans="5:7" ht="16.5">
      <c r="E138" s="7"/>
      <c r="F138" s="13"/>
      <c r="G138" s="7"/>
    </row>
    <row r="139" spans="5:7" ht="16.5">
      <c r="E139" s="7"/>
      <c r="F139" s="13"/>
      <c r="G139" s="7"/>
    </row>
    <row r="140" spans="5:7" ht="16.5">
      <c r="E140" s="7"/>
      <c r="F140" s="13"/>
      <c r="G140" s="7"/>
    </row>
    <row r="141" spans="5:7" ht="16.5">
      <c r="E141" s="7"/>
      <c r="F141" s="13"/>
      <c r="G141" s="7"/>
    </row>
    <row r="142" spans="5:7" ht="16.5">
      <c r="E142" s="7"/>
      <c r="F142" s="13"/>
      <c r="G142" s="7"/>
    </row>
    <row r="143" spans="5:7" ht="16.5">
      <c r="E143" s="7"/>
      <c r="F143" s="13"/>
      <c r="G143" s="7"/>
    </row>
    <row r="144" spans="5:7" ht="16.5">
      <c r="E144" s="7"/>
      <c r="F144" s="13"/>
      <c r="G144" s="7"/>
    </row>
    <row r="145" spans="5:7" ht="16.5">
      <c r="E145" s="7"/>
      <c r="F145" s="13"/>
      <c r="G145" s="7"/>
    </row>
    <row r="146" spans="5:7" ht="16.5">
      <c r="E146" s="7"/>
      <c r="F146" s="13"/>
      <c r="G146" s="7"/>
    </row>
    <row r="147" spans="5:7" ht="16.5">
      <c r="E147" s="7"/>
      <c r="F147" s="13"/>
      <c r="G147" s="7"/>
    </row>
    <row r="148" spans="5:7" ht="16.5">
      <c r="E148" s="7"/>
      <c r="F148" s="13"/>
      <c r="G148" s="7"/>
    </row>
    <row r="149" spans="5:7" ht="16.5">
      <c r="E149" s="7"/>
      <c r="F149" s="13"/>
      <c r="G149" s="7"/>
    </row>
    <row r="150" spans="5:7" ht="16.5">
      <c r="E150" s="7"/>
      <c r="F150" s="13"/>
      <c r="G150" s="7"/>
    </row>
    <row r="151" spans="5:7" ht="16.5">
      <c r="E151" s="7"/>
      <c r="F151" s="13"/>
      <c r="G151" s="7"/>
    </row>
    <row r="152" spans="5:7" ht="16.5">
      <c r="E152" s="7"/>
      <c r="F152" s="13"/>
      <c r="G152" s="7"/>
    </row>
    <row r="153" spans="5:7" ht="16.5">
      <c r="E153" s="7"/>
      <c r="F153" s="13"/>
      <c r="G153" s="7"/>
    </row>
    <row r="154" spans="5:7" ht="16.5">
      <c r="E154" s="7"/>
      <c r="F154" s="13"/>
      <c r="G154" s="7"/>
    </row>
    <row r="155" spans="5:7" ht="16.5">
      <c r="E155" s="7"/>
      <c r="F155" s="13"/>
      <c r="G155" s="7"/>
    </row>
    <row r="156" spans="5:7" ht="16.5">
      <c r="E156" s="7"/>
      <c r="F156" s="13"/>
      <c r="G156" s="7"/>
    </row>
    <row r="157" spans="5:7" ht="16.5">
      <c r="E157" s="7"/>
      <c r="F157" s="13"/>
      <c r="G157" s="7"/>
    </row>
    <row r="158" spans="5:7" ht="16.5">
      <c r="E158" s="7"/>
      <c r="F158" s="13"/>
      <c r="G158" s="7"/>
    </row>
    <row r="159" spans="5:7" ht="16.5">
      <c r="E159" s="7"/>
      <c r="F159" s="13"/>
      <c r="G159" s="7"/>
    </row>
    <row r="160" spans="5:7" ht="16.5">
      <c r="E160" s="7"/>
      <c r="F160" s="13"/>
      <c r="G160" s="7"/>
    </row>
    <row r="161" spans="5:7" ht="16.5">
      <c r="E161" s="7"/>
      <c r="F161" s="13"/>
      <c r="G161" s="7"/>
    </row>
    <row r="162" spans="5:7" ht="16.5">
      <c r="E162" s="7"/>
      <c r="F162" s="13"/>
      <c r="G162" s="7"/>
    </row>
    <row r="163" spans="5:7" ht="16.5">
      <c r="E163" s="7"/>
      <c r="F163" s="13"/>
      <c r="G163" s="7"/>
    </row>
    <row r="164" spans="5:7" ht="16.5">
      <c r="E164" s="7"/>
      <c r="F164" s="13"/>
      <c r="G164" s="7"/>
    </row>
    <row r="165" spans="5:7" ht="16.5">
      <c r="E165" s="7"/>
      <c r="F165" s="13"/>
      <c r="G165" s="7"/>
    </row>
    <row r="166" spans="5:7" ht="16.5">
      <c r="E166" s="7"/>
      <c r="F166" s="13"/>
      <c r="G166" s="7"/>
    </row>
    <row r="167" spans="5:7" ht="16.5">
      <c r="E167" s="7"/>
      <c r="F167" s="13"/>
      <c r="G167" s="7"/>
    </row>
    <row r="168" spans="5:7" ht="16.5">
      <c r="E168" s="7"/>
      <c r="F168" s="13"/>
      <c r="G168" s="7"/>
    </row>
    <row r="169" spans="5:7" ht="16.5">
      <c r="E169" s="7"/>
      <c r="F169" s="13"/>
      <c r="G169" s="7"/>
    </row>
    <row r="170" spans="5:7" ht="16.5">
      <c r="E170" s="7"/>
      <c r="F170" s="13"/>
      <c r="G170" s="7"/>
    </row>
    <row r="171" spans="5:7" ht="16.5">
      <c r="E171" s="7"/>
      <c r="F171" s="13"/>
      <c r="G171" s="7"/>
    </row>
    <row r="172" spans="5:7" ht="16.5">
      <c r="E172" s="7"/>
      <c r="F172" s="13"/>
      <c r="G172" s="7"/>
    </row>
    <row r="173" spans="5:7" ht="16.5">
      <c r="E173" s="7"/>
      <c r="F173" s="13"/>
      <c r="G173" s="7"/>
    </row>
    <row r="174" spans="5:7" ht="16.5">
      <c r="E174" s="7"/>
      <c r="F174" s="13"/>
      <c r="G174" s="7"/>
    </row>
    <row r="175" spans="5:7" ht="16.5">
      <c r="E175" s="7"/>
      <c r="F175" s="13"/>
      <c r="G175" s="7"/>
    </row>
    <row r="176" spans="5:7" ht="16.5">
      <c r="E176" s="7"/>
      <c r="F176" s="13"/>
      <c r="G176" s="7"/>
    </row>
    <row r="177" spans="5:7" ht="16.5">
      <c r="E177" s="7"/>
      <c r="F177" s="13"/>
      <c r="G177" s="7"/>
    </row>
    <row r="178" spans="5:7" ht="16.5">
      <c r="E178" s="7"/>
      <c r="F178" s="13"/>
      <c r="G178" s="7"/>
    </row>
    <row r="179" spans="5:7" ht="16.5">
      <c r="E179" s="7"/>
      <c r="F179" s="13"/>
      <c r="G179" s="7"/>
    </row>
    <row r="180" spans="5:7" ht="16.5">
      <c r="E180" s="7"/>
      <c r="F180" s="13"/>
      <c r="G180" s="7"/>
    </row>
    <row r="181" spans="5:7" ht="16.5">
      <c r="E181" s="7"/>
      <c r="F181" s="13"/>
      <c r="G181" s="7"/>
    </row>
    <row r="182" spans="5:7" ht="16.5">
      <c r="E182" s="7"/>
      <c r="F182" s="13"/>
      <c r="G182" s="7"/>
    </row>
    <row r="183" spans="5:7" ht="16.5">
      <c r="E183" s="7"/>
      <c r="F183" s="13"/>
      <c r="G183" s="7"/>
    </row>
    <row r="184" spans="5:7" ht="16.5">
      <c r="E184" s="7"/>
      <c r="F184" s="13"/>
      <c r="G184" s="7"/>
    </row>
    <row r="185" spans="5:7" ht="16.5">
      <c r="E185" s="7"/>
      <c r="F185" s="13"/>
      <c r="G185" s="7"/>
    </row>
    <row r="186" spans="5:7" ht="16.5">
      <c r="E186" s="7"/>
      <c r="F186" s="13"/>
      <c r="G186" s="7"/>
    </row>
    <row r="187" spans="5:7" ht="16.5">
      <c r="E187" s="7"/>
      <c r="F187" s="13"/>
      <c r="G187" s="7"/>
    </row>
    <row r="188" spans="5:7" ht="16.5">
      <c r="E188" s="7"/>
      <c r="F188" s="13"/>
      <c r="G188" s="7"/>
    </row>
    <row r="189" spans="5:7" ht="16.5">
      <c r="E189" s="7"/>
      <c r="F189" s="13"/>
      <c r="G189" s="7"/>
    </row>
    <row r="190" spans="5:7" ht="16.5">
      <c r="E190" s="7"/>
      <c r="F190" s="13"/>
      <c r="G190" s="7"/>
    </row>
    <row r="191" spans="5:7" ht="16.5">
      <c r="E191" s="7"/>
      <c r="F191" s="13"/>
      <c r="G191" s="7"/>
    </row>
    <row r="192" spans="5:7" ht="16.5">
      <c r="E192" s="7"/>
      <c r="F192" s="13"/>
      <c r="G192" s="7"/>
    </row>
    <row r="193" spans="5:7" ht="16.5">
      <c r="E193" s="7"/>
      <c r="F193" s="13"/>
      <c r="G193" s="7"/>
    </row>
    <row r="194" spans="5:7" ht="16.5">
      <c r="E194" s="7"/>
      <c r="F194" s="13"/>
      <c r="G194" s="7"/>
    </row>
    <row r="195" spans="5:7" ht="16.5">
      <c r="E195" s="7"/>
      <c r="F195" s="13"/>
      <c r="G195" s="7"/>
    </row>
    <row r="196" spans="5:7" ht="16.5">
      <c r="E196" s="7"/>
      <c r="F196" s="13"/>
      <c r="G196" s="7"/>
    </row>
    <row r="197" spans="5:7" ht="16.5">
      <c r="E197" s="7"/>
      <c r="F197" s="13"/>
      <c r="G197" s="7"/>
    </row>
    <row r="198" spans="5:7" ht="16.5">
      <c r="E198" s="7"/>
      <c r="F198" s="13"/>
      <c r="G198" s="7"/>
    </row>
    <row r="199" spans="5:7" ht="16.5">
      <c r="E199" s="7"/>
      <c r="F199" s="13"/>
      <c r="G199" s="7"/>
    </row>
    <row r="200" spans="5:7" ht="16.5">
      <c r="E200" s="7"/>
      <c r="F200" s="13"/>
      <c r="G200" s="7"/>
    </row>
  </sheetData>
  <autoFilter ref="A1:H116" xr:uid="{00000000-0009-0000-0000-000000000000}"/>
  <mergeCells count="58">
    <mergeCell ref="C6:C8"/>
    <mergeCell ref="C9:C10"/>
    <mergeCell ref="C11:C12"/>
    <mergeCell ref="B22:B31"/>
    <mergeCell ref="C22:C25"/>
    <mergeCell ref="C27:C31"/>
    <mergeCell ref="B2:B21"/>
    <mergeCell ref="C37:C39"/>
    <mergeCell ref="B69:B79"/>
    <mergeCell ref="C69:C73"/>
    <mergeCell ref="C75:C77"/>
    <mergeCell ref="C78:C79"/>
    <mergeCell ref="C47:C49"/>
    <mergeCell ref="C50:C52"/>
    <mergeCell ref="C54:C57"/>
    <mergeCell ref="C58:C61"/>
    <mergeCell ref="B42:B61"/>
    <mergeCell ref="C106:C107"/>
    <mergeCell ref="C108:C110"/>
    <mergeCell ref="C111:C112"/>
    <mergeCell ref="C113:C114"/>
    <mergeCell ref="C115:C116"/>
    <mergeCell ref="B106:B116"/>
    <mergeCell ref="E1:F1"/>
    <mergeCell ref="H6:H7"/>
    <mergeCell ref="G1:H1"/>
    <mergeCell ref="G15:G16"/>
    <mergeCell ref="H15:H16"/>
    <mergeCell ref="C19:C21"/>
    <mergeCell ref="C15:C16"/>
    <mergeCell ref="C13:C14"/>
    <mergeCell ref="C2:C5"/>
    <mergeCell ref="H2:H5"/>
    <mergeCell ref="C35:C36"/>
    <mergeCell ref="C32:C34"/>
    <mergeCell ref="C40:C41"/>
    <mergeCell ref="B32:B41"/>
    <mergeCell ref="C42:C46"/>
    <mergeCell ref="H54:H55"/>
    <mergeCell ref="B62:B68"/>
    <mergeCell ref="C63:C64"/>
    <mergeCell ref="C66:C67"/>
    <mergeCell ref="B80:B90"/>
    <mergeCell ref="C85:C89"/>
    <mergeCell ref="C80:C83"/>
    <mergeCell ref="H75:H77"/>
    <mergeCell ref="H80:H83"/>
    <mergeCell ref="H87:H89"/>
    <mergeCell ref="C103:C105"/>
    <mergeCell ref="H91:H92"/>
    <mergeCell ref="H93:H94"/>
    <mergeCell ref="H99:H101"/>
    <mergeCell ref="B99:B105"/>
    <mergeCell ref="C91:C92"/>
    <mergeCell ref="B91:B98"/>
    <mergeCell ref="C93:C94"/>
    <mergeCell ref="C95:C98"/>
    <mergeCell ref="C99:C101"/>
  </mergeCells>
  <phoneticPr fontId="15" type="noConversion"/>
  <dataValidations count="2">
    <dataValidation type="list" allowBlank="1" showInputMessage="1" showErrorMessage="1" sqref="G2:G1048576" xr:uid="{00000000-0002-0000-0000-000000000000}">
      <formula1>"数字化提升,管理优化,设备更新,组织优化,"</formula1>
    </dataValidation>
    <dataValidation type="list" allowBlank="1" showInputMessage="1" showErrorMessage="1" sqref="E2:E1048576" xr:uid="{00000000-0002-0000-0000-000001000000}">
      <formula1>"问题原因,合规管控问题,系统问题,技术设备问题,组织效率问题,流程协同问题,业务规范与标准问题,用户配合度问题,管理问题,待定,"</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Law</cp:lastModifiedBy>
  <dcterms:created xsi:type="dcterms:W3CDTF">2026-03-29T18:42:07Z</dcterms:created>
  <dcterms:modified xsi:type="dcterms:W3CDTF">2026-03-29T14:55:38Z</dcterms:modified>
</cp:coreProperties>
</file>